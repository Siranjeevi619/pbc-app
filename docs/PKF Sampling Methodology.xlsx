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.s\Downloads\"/>
    </mc:Choice>
  </mc:AlternateContent>
  <xr:revisionPtr revIDLastSave="0" documentId="8_{1701D592-12B0-4E39-8786-28D3E6A792F3}" xr6:coauthVersionLast="47" xr6:coauthVersionMax="47" xr10:uidLastSave="{00000000-0000-0000-0000-000000000000}"/>
  <bookViews>
    <workbookView xWindow="-110" yWindow="-110" windowWidth="19420" windowHeight="10300" activeTab="1" xr2:uid="{3522570E-97B1-4F99-B553-74EAFF8DF300}"/>
  </bookViews>
  <sheets>
    <sheet name="PKF Sampling_Payable_Advances" sheetId="2" r:id="rId1"/>
    <sheet name="Random Sampling_Advances_" sheetId="3" r:id="rId2"/>
  </sheets>
  <externalReferences>
    <externalReference r:id="rId3"/>
    <externalReference r:id="rId4"/>
  </externalReferences>
  <definedNames>
    <definedName name="_xlnm._FilterDatabase" localSheetId="1" hidden="1">'Random Sampling_Advances_'!$N$17:$Y$1500</definedName>
    <definedName name="column1" localSheetId="1">'Random Sampling_Advances_'!$A$74:$D$74</definedName>
    <definedName name="column1">'[1]Random Sampling_Local'!$A$74:$D$74</definedName>
    <definedName name="Column2" localSheetId="1">'Random Sampling_Advances_'!$A$92:$D$92</definedName>
    <definedName name="Column2">'[1]Random Sampling_Local'!$A$92:$D$92</definedName>
    <definedName name="DATA1" localSheetId="1">'Random Sampling_Advances_'!$A$73:$D$87</definedName>
    <definedName name="DATA1">'[1]Random Sampling_Local'!$A$73:$D$87</definedName>
    <definedName name="DATA2" localSheetId="1">'Random Sampling_Advances_'!$A$91:$D$105</definedName>
    <definedName name="DATA2">'[1]Random Sampling_Local'!$A$91:$D$105</definedName>
    <definedName name="DATA21">'[2]MB51-PBC'!$U$5:$U$5321</definedName>
    <definedName name="_xlnm.Print_Area" localSheetId="1">'Random Sampling_Advances_'!$A$1:$H$24,'Random Sampling_Advances_'!$N$14:$Y$417</definedName>
    <definedName name="_xlnm.Print_Titles" localSheetId="1">'Random Sampling_Advances_'!$14:$17</definedName>
    <definedName name="Row_1" localSheetId="1">'Random Sampling_Advances_'!$A$73:$A$87</definedName>
    <definedName name="Row_1">'[1]Random Sampling_Local'!$A$73:$A$87</definedName>
    <definedName name="Row_2" localSheetId="1">'Random Sampling_Advances_'!$A$91:$A$105</definedName>
    <definedName name="Row_2">'[1]Random Sampling_Local'!$A$91:$A$105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1" i="2" l="1"/>
  <c r="C74" i="2" s="1"/>
  <c r="B22" i="3"/>
  <c r="D102" i="3" s="1"/>
  <c r="O18" i="3"/>
  <c r="Y16" i="3"/>
  <c r="B16" i="3"/>
  <c r="B17" i="3" s="1"/>
  <c r="B19" i="3" s="1"/>
  <c r="B20" i="3" s="1"/>
  <c r="Y15" i="3"/>
  <c r="Y14" i="3"/>
  <c r="C77" i="2"/>
  <c r="B68" i="2"/>
  <c r="A68" i="2"/>
  <c r="C68" i="2" s="1"/>
  <c r="D68" i="2" s="1"/>
  <c r="C60" i="2"/>
  <c r="C59" i="2"/>
  <c r="C58" i="2"/>
  <c r="C57" i="2"/>
  <c r="C56" i="2"/>
  <c r="C55" i="2"/>
  <c r="C54" i="2"/>
  <c r="C53" i="2"/>
  <c r="C52" i="2"/>
  <c r="C16" i="2"/>
  <c r="D15" i="2"/>
  <c r="C15" i="2"/>
  <c r="C14" i="2"/>
  <c r="C94" i="3" l="1"/>
  <c r="D100" i="3"/>
  <c r="D96" i="3"/>
  <c r="B101" i="3"/>
  <c r="B97" i="3"/>
  <c r="D103" i="3"/>
  <c r="D99" i="3"/>
  <c r="D95" i="3"/>
  <c r="B100" i="3"/>
  <c r="C99" i="3"/>
  <c r="B93" i="3"/>
  <c r="C98" i="3"/>
  <c r="B98" i="3"/>
  <c r="D97" i="3"/>
  <c r="C102" i="3"/>
  <c r="B96" i="3"/>
  <c r="C95" i="3"/>
  <c r="B102" i="3"/>
  <c r="D98" i="3"/>
  <c r="D93" i="3"/>
  <c r="D94" i="3"/>
  <c r="C93" i="3"/>
  <c r="B103" i="3"/>
  <c r="B94" i="3"/>
  <c r="C100" i="3"/>
  <c r="C96" i="3"/>
  <c r="B99" i="3"/>
  <c r="B24" i="3"/>
  <c r="C101" i="3"/>
  <c r="B95" i="3"/>
  <c r="C103" i="3"/>
  <c r="D101" i="3"/>
  <c r="C97" i="3"/>
  <c r="E68" i="2"/>
  <c r="C78" i="2"/>
  <c r="N19" i="3" l="1"/>
  <c r="R3" i="3"/>
  <c r="R15" i="3"/>
  <c r="R10" i="3"/>
  <c r="R4" i="3"/>
  <c r="C80" i="2"/>
  <c r="C79" i="2"/>
  <c r="D79" i="2" s="1"/>
  <c r="R5" i="3" l="1"/>
  <c r="O19" i="3"/>
  <c r="N20" i="3"/>
  <c r="C81" i="2"/>
  <c r="D80" i="2"/>
  <c r="D81" i="2" s="1"/>
  <c r="C82" i="2" s="1"/>
  <c r="C83" i="2" s="1"/>
  <c r="O20" i="3" l="1"/>
  <c r="N21" i="3"/>
  <c r="N22" i="3" l="1"/>
  <c r="O21" i="3"/>
  <c r="P21" i="3" s="1"/>
  <c r="O22" i="3" l="1"/>
  <c r="P22" i="3" s="1"/>
  <c r="N23" i="3"/>
  <c r="O23" i="3" l="1"/>
  <c r="N24" i="3"/>
  <c r="O24" i="3" l="1"/>
  <c r="P24" i="3" s="1"/>
  <c r="N25" i="3"/>
  <c r="P23" i="3"/>
  <c r="N26" i="3" l="1"/>
  <c r="O25" i="3"/>
  <c r="P25" i="3" l="1"/>
  <c r="N27" i="3"/>
  <c r="O26" i="3"/>
  <c r="P26" i="3" s="1"/>
  <c r="O27" i="3" l="1"/>
  <c r="P27" i="3" s="1"/>
  <c r="N28" i="3"/>
  <c r="O28" i="3" l="1"/>
  <c r="P28" i="3" s="1"/>
  <c r="N29" i="3"/>
  <c r="N30" i="3" l="1"/>
  <c r="O29" i="3"/>
  <c r="P29" i="3" s="1"/>
  <c r="N31" i="3" l="1"/>
  <c r="O30" i="3"/>
  <c r="P30" i="3" s="1"/>
  <c r="N32" i="3" l="1"/>
  <c r="O31" i="3"/>
  <c r="P31" i="3" s="1"/>
  <c r="N33" i="3" l="1"/>
  <c r="O32" i="3"/>
  <c r="P32" i="3" s="1"/>
  <c r="O33" i="3" l="1"/>
  <c r="P33" i="3" s="1"/>
  <c r="N34" i="3"/>
  <c r="O34" i="3" l="1"/>
  <c r="P34" i="3" s="1"/>
  <c r="N35" i="3"/>
  <c r="O35" i="3" l="1"/>
  <c r="P35" i="3" s="1"/>
  <c r="N36" i="3"/>
  <c r="O36" i="3" l="1"/>
  <c r="P36" i="3" s="1"/>
  <c r="N37" i="3"/>
  <c r="O37" i="3" l="1"/>
  <c r="P37" i="3" s="1"/>
  <c r="N38" i="3"/>
  <c r="N39" i="3" l="1"/>
  <c r="O38" i="3"/>
  <c r="P38" i="3" s="1"/>
  <c r="N40" i="3" l="1"/>
  <c r="O39" i="3"/>
  <c r="P39" i="3" s="1"/>
  <c r="O40" i="3" l="1"/>
  <c r="P40" i="3" s="1"/>
  <c r="N41" i="3"/>
  <c r="N42" i="3" l="1"/>
  <c r="O41" i="3"/>
  <c r="P41" i="3" s="1"/>
  <c r="O42" i="3" l="1"/>
  <c r="P42" i="3" s="1"/>
  <c r="N43" i="3"/>
  <c r="N44" i="3" l="1"/>
  <c r="O43" i="3"/>
  <c r="P43" i="3" s="1"/>
  <c r="N45" i="3" l="1"/>
  <c r="O44" i="3"/>
  <c r="P44" i="3" s="1"/>
  <c r="O45" i="3" l="1"/>
  <c r="P45" i="3" s="1"/>
  <c r="N46" i="3"/>
  <c r="N47" i="3" l="1"/>
  <c r="O46" i="3"/>
  <c r="P46" i="3" s="1"/>
  <c r="N48" i="3" l="1"/>
  <c r="O47" i="3"/>
  <c r="P47" i="3" s="1"/>
  <c r="N49" i="3" l="1"/>
  <c r="O48" i="3"/>
  <c r="P48" i="3" s="1"/>
  <c r="O49" i="3" l="1"/>
  <c r="P49" i="3" s="1"/>
  <c r="N50" i="3"/>
  <c r="N51" i="3" l="1"/>
  <c r="O50" i="3"/>
  <c r="P50" i="3" s="1"/>
  <c r="N52" i="3" l="1"/>
  <c r="O51" i="3"/>
  <c r="P51" i="3" s="1"/>
  <c r="N53" i="3" l="1"/>
  <c r="O52" i="3"/>
  <c r="P52" i="3" s="1"/>
  <c r="N54" i="3" l="1"/>
  <c r="O53" i="3"/>
  <c r="P53" i="3" s="1"/>
  <c r="N55" i="3" l="1"/>
  <c r="O54" i="3"/>
  <c r="P54" i="3" s="1"/>
  <c r="N56" i="3" l="1"/>
  <c r="O55" i="3"/>
  <c r="P55" i="3" s="1"/>
  <c r="N57" i="3" l="1"/>
  <c r="O56" i="3"/>
  <c r="P56" i="3" s="1"/>
  <c r="O57" i="3" l="1"/>
  <c r="P57" i="3" s="1"/>
  <c r="N58" i="3"/>
  <c r="O58" i="3" l="1"/>
  <c r="P58" i="3" s="1"/>
  <c r="N59" i="3"/>
  <c r="N60" i="3" l="1"/>
  <c r="O59" i="3"/>
  <c r="P59" i="3" s="1"/>
  <c r="O60" i="3" l="1"/>
  <c r="P60" i="3" s="1"/>
  <c r="N61" i="3"/>
  <c r="O61" i="3" l="1"/>
  <c r="P61" i="3" s="1"/>
  <c r="N62" i="3"/>
  <c r="O62" i="3" l="1"/>
  <c r="P62" i="3" s="1"/>
  <c r="N63" i="3"/>
  <c r="N64" i="3" l="1"/>
  <c r="O63" i="3"/>
  <c r="P63" i="3" s="1"/>
  <c r="N65" i="3" l="1"/>
  <c r="O64" i="3"/>
  <c r="P64" i="3" s="1"/>
  <c r="O65" i="3" l="1"/>
  <c r="P65" i="3" s="1"/>
  <c r="N66" i="3"/>
  <c r="N67" i="3" l="1"/>
  <c r="O66" i="3"/>
  <c r="P66" i="3" s="1"/>
  <c r="O67" i="3" l="1"/>
  <c r="P67" i="3" s="1"/>
  <c r="Q18" i="3"/>
  <c r="Q17" i="3" l="1"/>
  <c r="R17" i="3"/>
  <c r="Q19" i="3"/>
  <c r="R18" i="3"/>
  <c r="S18" i="3" s="1"/>
  <c r="R19" i="3" l="1"/>
  <c r="S19" i="3" s="1"/>
  <c r="Q20" i="3"/>
  <c r="Q21" i="3" l="1"/>
  <c r="R20" i="3"/>
  <c r="S20" i="3" s="1"/>
  <c r="Q22" i="3" l="1"/>
  <c r="R21" i="3"/>
  <c r="S21" i="3" s="1"/>
  <c r="Q23" i="3" l="1"/>
  <c r="R22" i="3"/>
  <c r="S22" i="3" s="1"/>
  <c r="R23" i="3" l="1"/>
  <c r="S23" i="3" s="1"/>
  <c r="Q24" i="3"/>
  <c r="R24" i="3" l="1"/>
  <c r="S24" i="3" s="1"/>
  <c r="Q25" i="3"/>
  <c r="R25" i="3" l="1"/>
  <c r="S25" i="3" s="1"/>
  <c r="Q26" i="3"/>
  <c r="Q27" i="3" l="1"/>
  <c r="R26" i="3"/>
  <c r="S26" i="3" s="1"/>
  <c r="R27" i="3" l="1"/>
  <c r="S27" i="3" s="1"/>
  <c r="Q28" i="3"/>
  <c r="Q29" i="3" l="1"/>
  <c r="R28" i="3"/>
  <c r="S28" i="3" s="1"/>
  <c r="Q30" i="3" l="1"/>
  <c r="R29" i="3"/>
  <c r="S29" i="3" s="1"/>
  <c r="R30" i="3" l="1"/>
  <c r="S30" i="3" s="1"/>
  <c r="Q31" i="3"/>
  <c r="R31" i="3" l="1"/>
  <c r="S31" i="3" s="1"/>
  <c r="Q32" i="3"/>
  <c r="R32" i="3" l="1"/>
  <c r="S32" i="3" s="1"/>
  <c r="Q33" i="3"/>
  <c r="Q34" i="3" l="1"/>
  <c r="R33" i="3"/>
  <c r="S33" i="3" s="1"/>
  <c r="Q35" i="3" l="1"/>
  <c r="R34" i="3"/>
  <c r="S34" i="3" s="1"/>
  <c r="Q36" i="3" l="1"/>
  <c r="R35" i="3"/>
  <c r="S35" i="3" s="1"/>
  <c r="R36" i="3" l="1"/>
  <c r="S36" i="3" s="1"/>
  <c r="Q37" i="3"/>
  <c r="R37" i="3" l="1"/>
  <c r="S37" i="3" s="1"/>
  <c r="Q38" i="3"/>
  <c r="R38" i="3" l="1"/>
  <c r="S38" i="3" s="1"/>
  <c r="Q39" i="3"/>
  <c r="R39" i="3" l="1"/>
  <c r="S39" i="3" s="1"/>
  <c r="Q40" i="3"/>
  <c r="R40" i="3" l="1"/>
  <c r="S40" i="3" s="1"/>
  <c r="Q41" i="3"/>
  <c r="Q42" i="3" l="1"/>
  <c r="R41" i="3"/>
  <c r="S41" i="3" s="1"/>
  <c r="Q43" i="3" l="1"/>
  <c r="R42" i="3"/>
  <c r="S42" i="3" s="1"/>
  <c r="R43" i="3" l="1"/>
  <c r="S43" i="3" s="1"/>
  <c r="Q44" i="3"/>
  <c r="Q45" i="3" l="1"/>
  <c r="R44" i="3"/>
  <c r="S44" i="3" s="1"/>
  <c r="Q46" i="3" l="1"/>
  <c r="R45" i="3"/>
  <c r="S45" i="3" s="1"/>
  <c r="R46" i="3" l="1"/>
  <c r="S46" i="3" s="1"/>
  <c r="Q47" i="3"/>
  <c r="Q48" i="3" l="1"/>
  <c r="R47" i="3"/>
  <c r="S47" i="3" s="1"/>
  <c r="Q49" i="3" l="1"/>
  <c r="R48" i="3"/>
  <c r="S48" i="3" s="1"/>
  <c r="R49" i="3" l="1"/>
  <c r="S49" i="3" s="1"/>
  <c r="Q50" i="3"/>
  <c r="Q51" i="3" l="1"/>
  <c r="R50" i="3"/>
  <c r="S50" i="3" s="1"/>
  <c r="R51" i="3" l="1"/>
  <c r="S51" i="3" s="1"/>
  <c r="Q52" i="3"/>
  <c r="R52" i="3" l="1"/>
  <c r="S52" i="3" s="1"/>
  <c r="Q53" i="3"/>
  <c r="Q54" i="3" l="1"/>
  <c r="R53" i="3"/>
  <c r="S53" i="3" s="1"/>
  <c r="Q55" i="3" l="1"/>
  <c r="R54" i="3"/>
  <c r="S54" i="3" s="1"/>
  <c r="Q56" i="3" l="1"/>
  <c r="R55" i="3"/>
  <c r="S55" i="3" s="1"/>
  <c r="R56" i="3" l="1"/>
  <c r="S56" i="3" s="1"/>
  <c r="Q57" i="3"/>
  <c r="Q58" i="3" l="1"/>
  <c r="R57" i="3"/>
  <c r="S57" i="3" s="1"/>
  <c r="Q59" i="3" l="1"/>
  <c r="R58" i="3"/>
  <c r="S58" i="3" s="1"/>
  <c r="Q60" i="3" l="1"/>
  <c r="R59" i="3"/>
  <c r="S59" i="3" s="1"/>
  <c r="R60" i="3" l="1"/>
  <c r="S60" i="3" s="1"/>
  <c r="Q61" i="3"/>
  <c r="R61" i="3" l="1"/>
  <c r="S61" i="3" s="1"/>
  <c r="Q62" i="3"/>
  <c r="Q63" i="3" l="1"/>
  <c r="R62" i="3"/>
  <c r="S62" i="3" s="1"/>
  <c r="R63" i="3" l="1"/>
  <c r="S63" i="3" s="1"/>
  <c r="Q64" i="3"/>
  <c r="R64" i="3" l="1"/>
  <c r="S64" i="3" s="1"/>
  <c r="Q65" i="3"/>
  <c r="R65" i="3" l="1"/>
  <c r="S65" i="3" s="1"/>
  <c r="Q66" i="3"/>
  <c r="Q67" i="3" l="1"/>
  <c r="R66" i="3"/>
  <c r="S66" i="3" s="1"/>
  <c r="R67" i="3" l="1"/>
  <c r="S67" i="3" s="1"/>
  <c r="T18" i="3"/>
  <c r="U18" i="3" l="1"/>
  <c r="V18" i="3" s="1"/>
  <c r="U17" i="3"/>
  <c r="T17" i="3"/>
  <c r="T19" i="3"/>
  <c r="U19" i="3" l="1"/>
  <c r="V19" i="3" s="1"/>
  <c r="T20" i="3"/>
  <c r="U20" i="3" l="1"/>
  <c r="V20" i="3" s="1"/>
  <c r="T21" i="3"/>
  <c r="T22" i="3" l="1"/>
  <c r="U21" i="3"/>
  <c r="V21" i="3" s="1"/>
  <c r="T23" i="3" l="1"/>
  <c r="U22" i="3"/>
  <c r="V22" i="3" s="1"/>
  <c r="T24" i="3" l="1"/>
  <c r="U23" i="3"/>
  <c r="V23" i="3" s="1"/>
  <c r="T25" i="3" l="1"/>
  <c r="U24" i="3"/>
  <c r="V24" i="3" s="1"/>
  <c r="T26" i="3" l="1"/>
  <c r="U25" i="3"/>
  <c r="V25" i="3" s="1"/>
  <c r="T27" i="3" l="1"/>
  <c r="U26" i="3"/>
  <c r="V26" i="3" s="1"/>
  <c r="U27" i="3" l="1"/>
  <c r="V27" i="3" s="1"/>
  <c r="T28" i="3"/>
  <c r="U28" i="3" l="1"/>
  <c r="V28" i="3" s="1"/>
  <c r="T29" i="3"/>
  <c r="T30" i="3" l="1"/>
  <c r="U29" i="3"/>
  <c r="V29" i="3" s="1"/>
  <c r="U30" i="3" l="1"/>
  <c r="V30" i="3" s="1"/>
  <c r="T31" i="3"/>
  <c r="U31" i="3" l="1"/>
  <c r="V31" i="3" s="1"/>
  <c r="T32" i="3"/>
  <c r="T33" i="3" l="1"/>
  <c r="U32" i="3"/>
  <c r="V32" i="3" s="1"/>
  <c r="U33" i="3" l="1"/>
  <c r="V33" i="3" s="1"/>
  <c r="T34" i="3"/>
  <c r="U34" i="3" l="1"/>
  <c r="V34" i="3" s="1"/>
  <c r="T35" i="3"/>
  <c r="T36" i="3" l="1"/>
  <c r="U35" i="3"/>
  <c r="V35" i="3" s="1"/>
  <c r="T37" i="3" l="1"/>
  <c r="U36" i="3"/>
  <c r="V36" i="3" s="1"/>
  <c r="T38" i="3" l="1"/>
  <c r="U37" i="3"/>
  <c r="V37" i="3" s="1"/>
  <c r="T39" i="3" l="1"/>
  <c r="U38" i="3"/>
  <c r="V38" i="3" s="1"/>
  <c r="U39" i="3" l="1"/>
  <c r="V39" i="3" s="1"/>
  <c r="T40" i="3"/>
  <c r="U40" i="3" l="1"/>
  <c r="V40" i="3" s="1"/>
  <c r="T41" i="3"/>
  <c r="U41" i="3" l="1"/>
  <c r="V41" i="3" s="1"/>
  <c r="T42" i="3"/>
  <c r="U42" i="3" l="1"/>
  <c r="V42" i="3" s="1"/>
  <c r="T43" i="3"/>
  <c r="U43" i="3" l="1"/>
  <c r="V43" i="3" s="1"/>
  <c r="T44" i="3"/>
  <c r="T45" i="3" l="1"/>
  <c r="U44" i="3"/>
  <c r="V44" i="3" s="1"/>
  <c r="U45" i="3" l="1"/>
  <c r="V45" i="3" s="1"/>
  <c r="T46" i="3"/>
  <c r="U46" i="3" l="1"/>
  <c r="V46" i="3" s="1"/>
  <c r="T47" i="3"/>
  <c r="T48" i="3" l="1"/>
  <c r="U47" i="3"/>
  <c r="V47" i="3" s="1"/>
  <c r="U48" i="3" l="1"/>
  <c r="V48" i="3" s="1"/>
  <c r="T49" i="3"/>
  <c r="T50" i="3" l="1"/>
  <c r="U49" i="3"/>
  <c r="V49" i="3" s="1"/>
  <c r="T51" i="3" l="1"/>
  <c r="U50" i="3"/>
  <c r="V50" i="3" s="1"/>
  <c r="T52" i="3" l="1"/>
  <c r="U51" i="3"/>
  <c r="V51" i="3" s="1"/>
  <c r="U52" i="3" l="1"/>
  <c r="V52" i="3" s="1"/>
  <c r="T53" i="3"/>
  <c r="T54" i="3" l="1"/>
  <c r="U53" i="3"/>
  <c r="V53" i="3" s="1"/>
  <c r="U54" i="3" l="1"/>
  <c r="V54" i="3" s="1"/>
  <c r="T55" i="3"/>
  <c r="U55" i="3" l="1"/>
  <c r="V55" i="3" s="1"/>
  <c r="T56" i="3"/>
  <c r="U56" i="3" l="1"/>
  <c r="V56" i="3" s="1"/>
  <c r="T57" i="3"/>
  <c r="T58" i="3" l="1"/>
  <c r="U57" i="3"/>
  <c r="V57" i="3" s="1"/>
  <c r="T59" i="3" l="1"/>
  <c r="U58" i="3"/>
  <c r="V58" i="3" s="1"/>
  <c r="U59" i="3" l="1"/>
  <c r="V59" i="3" s="1"/>
  <c r="T60" i="3"/>
  <c r="T61" i="3" l="1"/>
  <c r="U60" i="3"/>
  <c r="V60" i="3" s="1"/>
  <c r="T62" i="3" l="1"/>
  <c r="U61" i="3"/>
  <c r="V61" i="3" s="1"/>
  <c r="T63" i="3" l="1"/>
  <c r="U62" i="3"/>
  <c r="V62" i="3" s="1"/>
  <c r="U63" i="3" l="1"/>
  <c r="V63" i="3" s="1"/>
  <c r="T64" i="3"/>
  <c r="U64" i="3" l="1"/>
  <c r="V64" i="3" s="1"/>
  <c r="T65" i="3"/>
  <c r="T66" i="3" l="1"/>
  <c r="U65" i="3"/>
  <c r="V65" i="3" s="1"/>
  <c r="U66" i="3" l="1"/>
  <c r="V66" i="3" s="1"/>
  <c r="T67" i="3"/>
  <c r="U67" i="3" l="1"/>
  <c r="V67" i="3" s="1"/>
  <c r="W18" i="3"/>
  <c r="W17" i="3" l="1"/>
  <c r="X17" i="3"/>
  <c r="W19" i="3"/>
  <c r="X18" i="3"/>
  <c r="Y18" i="3" s="1"/>
  <c r="W20" i="3" l="1"/>
  <c r="X19" i="3"/>
  <c r="Y19" i="3" s="1"/>
  <c r="X20" i="3" l="1"/>
  <c r="Y20" i="3" s="1"/>
  <c r="W21" i="3"/>
  <c r="X21" i="3" l="1"/>
  <c r="Y21" i="3" s="1"/>
  <c r="W22" i="3"/>
  <c r="X22" i="3" l="1"/>
  <c r="Y22" i="3" s="1"/>
  <c r="W23" i="3"/>
  <c r="W24" i="3" l="1"/>
  <c r="X23" i="3"/>
  <c r="Y23" i="3" s="1"/>
  <c r="W25" i="3" l="1"/>
  <c r="X24" i="3"/>
  <c r="Y24" i="3" s="1"/>
  <c r="W26" i="3" l="1"/>
  <c r="X25" i="3"/>
  <c r="Y25" i="3" s="1"/>
  <c r="W27" i="3" l="1"/>
  <c r="X26" i="3"/>
  <c r="Y26" i="3" s="1"/>
  <c r="W28" i="3" l="1"/>
  <c r="X27" i="3"/>
  <c r="Y27" i="3" s="1"/>
  <c r="W29" i="3" l="1"/>
  <c r="X28" i="3"/>
  <c r="Y28" i="3" s="1"/>
  <c r="W30" i="3" l="1"/>
  <c r="X29" i="3"/>
  <c r="Y29" i="3" s="1"/>
  <c r="W31" i="3" l="1"/>
  <c r="X30" i="3"/>
  <c r="Y30" i="3" s="1"/>
  <c r="W32" i="3" l="1"/>
  <c r="X31" i="3"/>
  <c r="Y31" i="3" s="1"/>
  <c r="W33" i="3" l="1"/>
  <c r="X32" i="3"/>
  <c r="Y32" i="3" s="1"/>
  <c r="W34" i="3" l="1"/>
  <c r="X33" i="3"/>
  <c r="Y33" i="3" s="1"/>
  <c r="W35" i="3" l="1"/>
  <c r="X34" i="3"/>
  <c r="Y34" i="3" s="1"/>
  <c r="W36" i="3" l="1"/>
  <c r="X35" i="3"/>
  <c r="Y35" i="3" s="1"/>
  <c r="W37" i="3" l="1"/>
  <c r="X36" i="3"/>
  <c r="Y36" i="3" s="1"/>
  <c r="W38" i="3" l="1"/>
  <c r="X37" i="3"/>
  <c r="Y37" i="3" s="1"/>
  <c r="W39" i="3" l="1"/>
  <c r="X38" i="3"/>
  <c r="Y38" i="3" s="1"/>
  <c r="W40" i="3" l="1"/>
  <c r="X39" i="3"/>
  <c r="Y39" i="3" s="1"/>
  <c r="W41" i="3" l="1"/>
  <c r="X40" i="3"/>
  <c r="Y40" i="3" s="1"/>
  <c r="W42" i="3" l="1"/>
  <c r="X41" i="3"/>
  <c r="Y41" i="3" s="1"/>
  <c r="W43" i="3" l="1"/>
  <c r="X42" i="3"/>
  <c r="Y42" i="3" s="1"/>
  <c r="W44" i="3" l="1"/>
  <c r="X43" i="3"/>
  <c r="Y43" i="3" s="1"/>
  <c r="X44" i="3" l="1"/>
  <c r="Y44" i="3" s="1"/>
  <c r="W45" i="3"/>
  <c r="X45" i="3" l="1"/>
  <c r="Y45" i="3" s="1"/>
  <c r="W46" i="3"/>
  <c r="X46" i="3" l="1"/>
  <c r="Y46" i="3" s="1"/>
  <c r="W47" i="3"/>
  <c r="W48" i="3" l="1"/>
  <c r="X47" i="3"/>
  <c r="Y47" i="3" s="1"/>
  <c r="W49" i="3" l="1"/>
  <c r="X48" i="3"/>
  <c r="Y48" i="3" s="1"/>
  <c r="W50" i="3" l="1"/>
  <c r="X49" i="3"/>
  <c r="Y49" i="3" s="1"/>
  <c r="X50" i="3" l="1"/>
  <c r="Y50" i="3" s="1"/>
  <c r="W51" i="3"/>
  <c r="W52" i="3" l="1"/>
  <c r="X51" i="3"/>
  <c r="Y51" i="3" s="1"/>
  <c r="W53" i="3" l="1"/>
  <c r="X52" i="3"/>
  <c r="Y52" i="3" s="1"/>
  <c r="W54" i="3" l="1"/>
  <c r="X53" i="3"/>
  <c r="Y53" i="3" s="1"/>
  <c r="X54" i="3" l="1"/>
  <c r="Y54" i="3" s="1"/>
  <c r="W55" i="3"/>
  <c r="W56" i="3" l="1"/>
  <c r="X55" i="3"/>
  <c r="Y55" i="3" s="1"/>
  <c r="X56" i="3" l="1"/>
  <c r="Y56" i="3" s="1"/>
  <c r="W57" i="3"/>
  <c r="X57" i="3" l="1"/>
  <c r="Y57" i="3" s="1"/>
  <c r="W58" i="3"/>
  <c r="X58" i="3" l="1"/>
  <c r="Y58" i="3" s="1"/>
  <c r="W59" i="3"/>
  <c r="W60" i="3" l="1"/>
  <c r="X59" i="3"/>
  <c r="Y59" i="3" s="1"/>
  <c r="W61" i="3" l="1"/>
  <c r="X60" i="3"/>
  <c r="Y60" i="3" s="1"/>
  <c r="X61" i="3" l="1"/>
  <c r="Y61" i="3" s="1"/>
  <c r="W62" i="3"/>
  <c r="W63" i="3" l="1"/>
  <c r="X62" i="3"/>
  <c r="Y62" i="3" s="1"/>
  <c r="W64" i="3" l="1"/>
  <c r="X63" i="3"/>
  <c r="Y63" i="3" s="1"/>
  <c r="W65" i="3" l="1"/>
  <c r="X64" i="3"/>
  <c r="Y64" i="3" s="1"/>
  <c r="X65" i="3" l="1"/>
  <c r="Y65" i="3" s="1"/>
  <c r="W66" i="3"/>
  <c r="X66" i="3" l="1"/>
  <c r="Y66" i="3" s="1"/>
  <c r="W67" i="3"/>
  <c r="N68" i="3" l="1"/>
  <c r="X67" i="3"/>
  <c r="Y67" i="3" s="1"/>
  <c r="N69" i="3" l="1"/>
  <c r="O68" i="3"/>
  <c r="P68" i="3" s="1"/>
  <c r="O69" i="3" l="1"/>
  <c r="P69" i="3" s="1"/>
  <c r="N70" i="3"/>
  <c r="O70" i="3" l="1"/>
  <c r="P70" i="3" s="1"/>
  <c r="N71" i="3"/>
  <c r="N72" i="3" l="1"/>
  <c r="O71" i="3"/>
  <c r="P71" i="3" s="1"/>
  <c r="O72" i="3" l="1"/>
  <c r="P72" i="3" s="1"/>
  <c r="N73" i="3"/>
  <c r="O73" i="3" l="1"/>
  <c r="P73" i="3" s="1"/>
  <c r="N74" i="3"/>
  <c r="O74" i="3" l="1"/>
  <c r="P74" i="3" s="1"/>
  <c r="N75" i="3"/>
  <c r="N76" i="3" l="1"/>
  <c r="O75" i="3"/>
  <c r="P75" i="3" s="1"/>
  <c r="N77" i="3" l="1"/>
  <c r="O76" i="3"/>
  <c r="P76" i="3" s="1"/>
  <c r="O77" i="3" l="1"/>
  <c r="P77" i="3" s="1"/>
  <c r="N78" i="3"/>
  <c r="N79" i="3" l="1"/>
  <c r="O78" i="3"/>
  <c r="P78" i="3" s="1"/>
  <c r="N80" i="3" l="1"/>
  <c r="O79" i="3"/>
  <c r="P79" i="3" s="1"/>
  <c r="N81" i="3" l="1"/>
  <c r="O80" i="3"/>
  <c r="P80" i="3" s="1"/>
  <c r="O81" i="3" l="1"/>
  <c r="P81" i="3" s="1"/>
  <c r="N82" i="3"/>
  <c r="O82" i="3" l="1"/>
  <c r="P82" i="3" s="1"/>
  <c r="N83" i="3"/>
  <c r="N84" i="3" l="1"/>
  <c r="O83" i="3"/>
  <c r="P83" i="3" s="1"/>
  <c r="O84" i="3" l="1"/>
  <c r="P84" i="3" s="1"/>
  <c r="N85" i="3"/>
  <c r="O85" i="3" l="1"/>
  <c r="P85" i="3" s="1"/>
  <c r="N86" i="3"/>
  <c r="N87" i="3" l="1"/>
  <c r="O86" i="3"/>
  <c r="P86" i="3" s="1"/>
  <c r="O87" i="3" l="1"/>
  <c r="P87" i="3" s="1"/>
  <c r="N88" i="3"/>
  <c r="N89" i="3" l="1"/>
  <c r="O88" i="3"/>
  <c r="P88" i="3" s="1"/>
  <c r="O89" i="3" l="1"/>
  <c r="P89" i="3" s="1"/>
  <c r="N90" i="3"/>
  <c r="O90" i="3" l="1"/>
  <c r="P90" i="3" s="1"/>
  <c r="N91" i="3"/>
  <c r="N92" i="3" l="1"/>
  <c r="O91" i="3"/>
  <c r="P91" i="3" s="1"/>
  <c r="O92" i="3" l="1"/>
  <c r="P92" i="3" s="1"/>
  <c r="N93" i="3"/>
  <c r="N94" i="3" l="1"/>
  <c r="O93" i="3"/>
  <c r="P93" i="3" s="1"/>
  <c r="N95" i="3" l="1"/>
  <c r="O94" i="3"/>
  <c r="P94" i="3" s="1"/>
  <c r="O95" i="3" l="1"/>
  <c r="P95" i="3" s="1"/>
  <c r="N96" i="3"/>
  <c r="N97" i="3" l="1"/>
  <c r="O96" i="3"/>
  <c r="P96" i="3" s="1"/>
  <c r="N98" i="3" l="1"/>
  <c r="O97" i="3"/>
  <c r="P97" i="3" s="1"/>
  <c r="N99" i="3" l="1"/>
  <c r="O98" i="3"/>
  <c r="P98" i="3" s="1"/>
  <c r="O99" i="3" l="1"/>
  <c r="P99" i="3" s="1"/>
  <c r="N100" i="3"/>
  <c r="N101" i="3" l="1"/>
  <c r="O100" i="3"/>
  <c r="P100" i="3" s="1"/>
  <c r="O101" i="3" l="1"/>
  <c r="P101" i="3" s="1"/>
  <c r="N102" i="3"/>
  <c r="N103" i="3" l="1"/>
  <c r="O102" i="3"/>
  <c r="P102" i="3" s="1"/>
  <c r="O103" i="3" l="1"/>
  <c r="P103" i="3" s="1"/>
  <c r="N104" i="3"/>
  <c r="N105" i="3" l="1"/>
  <c r="O104" i="3"/>
  <c r="P104" i="3" s="1"/>
  <c r="N106" i="3" l="1"/>
  <c r="O105" i="3"/>
  <c r="P105" i="3" s="1"/>
  <c r="O106" i="3" l="1"/>
  <c r="P106" i="3" s="1"/>
  <c r="N107" i="3"/>
  <c r="O107" i="3" l="1"/>
  <c r="P107" i="3" s="1"/>
  <c r="N108" i="3"/>
  <c r="O108" i="3" l="1"/>
  <c r="P108" i="3" s="1"/>
  <c r="N109" i="3"/>
  <c r="N110" i="3" l="1"/>
  <c r="O109" i="3"/>
  <c r="P109" i="3" s="1"/>
  <c r="N111" i="3" l="1"/>
  <c r="O110" i="3"/>
  <c r="P110" i="3" s="1"/>
  <c r="O111" i="3" l="1"/>
  <c r="P111" i="3" s="1"/>
  <c r="N112" i="3"/>
  <c r="O112" i="3" l="1"/>
  <c r="P112" i="3" s="1"/>
  <c r="N113" i="3"/>
  <c r="N114" i="3" l="1"/>
  <c r="O113" i="3"/>
  <c r="P113" i="3" s="1"/>
  <c r="O114" i="3" l="1"/>
  <c r="P114" i="3" s="1"/>
  <c r="N115" i="3"/>
  <c r="O115" i="3" l="1"/>
  <c r="P115" i="3" s="1"/>
  <c r="N116" i="3"/>
  <c r="O116" i="3" l="1"/>
  <c r="P116" i="3" s="1"/>
  <c r="N117" i="3"/>
  <c r="Q68" i="3" l="1"/>
  <c r="O117" i="3"/>
  <c r="P117" i="3" s="1"/>
  <c r="R68" i="3" l="1"/>
  <c r="S68" i="3" s="1"/>
  <c r="Q69" i="3"/>
  <c r="Q70" i="3" l="1"/>
  <c r="R69" i="3"/>
  <c r="S69" i="3" s="1"/>
  <c r="Q71" i="3" l="1"/>
  <c r="R70" i="3"/>
  <c r="S70" i="3" s="1"/>
  <c r="Q72" i="3" l="1"/>
  <c r="R71" i="3"/>
  <c r="S71" i="3" s="1"/>
  <c r="R72" i="3" l="1"/>
  <c r="S72" i="3" s="1"/>
  <c r="Q73" i="3"/>
  <c r="R73" i="3" l="1"/>
  <c r="S73" i="3" s="1"/>
  <c r="Q74" i="3"/>
  <c r="Q75" i="3" l="1"/>
  <c r="R74" i="3"/>
  <c r="S74" i="3" s="1"/>
  <c r="R75" i="3" l="1"/>
  <c r="S75" i="3" s="1"/>
  <c r="Q76" i="3"/>
  <c r="R76" i="3" l="1"/>
  <c r="S76" i="3" s="1"/>
  <c r="Q77" i="3"/>
  <c r="Q78" i="3" l="1"/>
  <c r="R77" i="3"/>
  <c r="S77" i="3" s="1"/>
  <c r="R78" i="3" l="1"/>
  <c r="S78" i="3" s="1"/>
  <c r="Q79" i="3"/>
  <c r="Q80" i="3" l="1"/>
  <c r="R79" i="3"/>
  <c r="S79" i="3" s="1"/>
  <c r="R80" i="3" l="1"/>
  <c r="S80" i="3" s="1"/>
  <c r="Q81" i="3"/>
  <c r="R81" i="3" l="1"/>
  <c r="S81" i="3" s="1"/>
  <c r="Q82" i="3"/>
  <c r="Q83" i="3" l="1"/>
  <c r="R82" i="3"/>
  <c r="S82" i="3" s="1"/>
  <c r="Q84" i="3" l="1"/>
  <c r="R83" i="3"/>
  <c r="S83" i="3" s="1"/>
  <c r="R84" i="3" l="1"/>
  <c r="S84" i="3" s="1"/>
  <c r="Q85" i="3"/>
  <c r="R85" i="3" l="1"/>
  <c r="S85" i="3" s="1"/>
  <c r="Q86" i="3"/>
  <c r="Q87" i="3" l="1"/>
  <c r="R86" i="3"/>
  <c r="S86" i="3" s="1"/>
  <c r="R87" i="3" l="1"/>
  <c r="S87" i="3" s="1"/>
  <c r="Q88" i="3"/>
  <c r="R88" i="3" l="1"/>
  <c r="S88" i="3" s="1"/>
  <c r="Q89" i="3"/>
  <c r="R89" i="3" l="1"/>
  <c r="S89" i="3" s="1"/>
  <c r="Q90" i="3"/>
  <c r="Q91" i="3" l="1"/>
  <c r="R90" i="3"/>
  <c r="S90" i="3" s="1"/>
  <c r="Q92" i="3" l="1"/>
  <c r="R91" i="3"/>
  <c r="S91" i="3" s="1"/>
  <c r="Q93" i="3" l="1"/>
  <c r="R92" i="3"/>
  <c r="S92" i="3" s="1"/>
  <c r="R93" i="3" l="1"/>
  <c r="S93" i="3" s="1"/>
  <c r="Q94" i="3"/>
  <c r="Q95" i="3" l="1"/>
  <c r="R94" i="3"/>
  <c r="S94" i="3" s="1"/>
  <c r="R95" i="3" l="1"/>
  <c r="S95" i="3" s="1"/>
  <c r="Q96" i="3"/>
  <c r="R96" i="3" l="1"/>
  <c r="S96" i="3" s="1"/>
  <c r="Q97" i="3"/>
  <c r="R97" i="3" l="1"/>
  <c r="S97" i="3" s="1"/>
  <c r="Q98" i="3"/>
  <c r="Q99" i="3" l="1"/>
  <c r="R98" i="3"/>
  <c r="S98" i="3" s="1"/>
  <c r="R99" i="3" l="1"/>
  <c r="S99" i="3" s="1"/>
  <c r="Q100" i="3"/>
  <c r="Q101" i="3" l="1"/>
  <c r="R100" i="3"/>
  <c r="S100" i="3" s="1"/>
  <c r="Q102" i="3" l="1"/>
  <c r="R101" i="3"/>
  <c r="S101" i="3" s="1"/>
  <c r="R102" i="3" l="1"/>
  <c r="S102" i="3" s="1"/>
  <c r="Q103" i="3"/>
  <c r="R103" i="3" l="1"/>
  <c r="S103" i="3" s="1"/>
  <c r="Q104" i="3"/>
  <c r="Q105" i="3" l="1"/>
  <c r="R104" i="3"/>
  <c r="S104" i="3" s="1"/>
  <c r="R105" i="3" l="1"/>
  <c r="S105" i="3" s="1"/>
  <c r="Q106" i="3"/>
  <c r="R106" i="3" l="1"/>
  <c r="S106" i="3" s="1"/>
  <c r="Q107" i="3"/>
  <c r="Q108" i="3" l="1"/>
  <c r="R107" i="3"/>
  <c r="S107" i="3" s="1"/>
  <c r="Q109" i="3" l="1"/>
  <c r="R108" i="3"/>
  <c r="S108" i="3" s="1"/>
  <c r="R109" i="3" l="1"/>
  <c r="S109" i="3" s="1"/>
  <c r="Q110" i="3"/>
  <c r="R110" i="3" l="1"/>
  <c r="S110" i="3" s="1"/>
  <c r="Q111" i="3"/>
  <c r="R111" i="3" l="1"/>
  <c r="S111" i="3" s="1"/>
  <c r="Q112" i="3"/>
  <c r="Q113" i="3" l="1"/>
  <c r="R112" i="3"/>
  <c r="S112" i="3" s="1"/>
  <c r="Q114" i="3" l="1"/>
  <c r="R113" i="3"/>
  <c r="S113" i="3" s="1"/>
  <c r="R114" i="3" l="1"/>
  <c r="S114" i="3" s="1"/>
  <c r="Q115" i="3"/>
  <c r="R115" i="3" l="1"/>
  <c r="S115" i="3" s="1"/>
  <c r="Q116" i="3"/>
  <c r="Q117" i="3" l="1"/>
  <c r="R116" i="3"/>
  <c r="S116" i="3" s="1"/>
  <c r="R117" i="3" l="1"/>
  <c r="S117" i="3" s="1"/>
  <c r="T68" i="3"/>
  <c r="T69" i="3" l="1"/>
  <c r="U68" i="3"/>
  <c r="V68" i="3" s="1"/>
  <c r="U69" i="3" l="1"/>
  <c r="V69" i="3" s="1"/>
  <c r="T70" i="3"/>
  <c r="T71" i="3" l="1"/>
  <c r="U70" i="3"/>
  <c r="V70" i="3" s="1"/>
  <c r="U71" i="3" l="1"/>
  <c r="V71" i="3" s="1"/>
  <c r="T72" i="3"/>
  <c r="U72" i="3" l="1"/>
  <c r="V72" i="3" s="1"/>
  <c r="T73" i="3"/>
  <c r="T74" i="3" l="1"/>
  <c r="U73" i="3"/>
  <c r="V73" i="3" s="1"/>
  <c r="T75" i="3" l="1"/>
  <c r="U74" i="3"/>
  <c r="V74" i="3" s="1"/>
  <c r="U75" i="3" l="1"/>
  <c r="V75" i="3" s="1"/>
  <c r="T76" i="3"/>
  <c r="U76" i="3" l="1"/>
  <c r="V76" i="3" s="1"/>
  <c r="T77" i="3"/>
  <c r="T78" i="3" l="1"/>
  <c r="U77" i="3"/>
  <c r="V77" i="3" s="1"/>
  <c r="U78" i="3" l="1"/>
  <c r="V78" i="3" s="1"/>
  <c r="T79" i="3"/>
  <c r="U79" i="3" l="1"/>
  <c r="V79" i="3" s="1"/>
  <c r="T80" i="3"/>
  <c r="U80" i="3" l="1"/>
  <c r="V80" i="3" s="1"/>
  <c r="T81" i="3"/>
  <c r="T82" i="3" l="1"/>
  <c r="U81" i="3"/>
  <c r="V81" i="3" s="1"/>
  <c r="T83" i="3" l="1"/>
  <c r="U82" i="3"/>
  <c r="V82" i="3" s="1"/>
  <c r="U83" i="3" l="1"/>
  <c r="V83" i="3" s="1"/>
  <c r="T84" i="3"/>
  <c r="T85" i="3" l="1"/>
  <c r="U84" i="3"/>
  <c r="V84" i="3" s="1"/>
  <c r="T86" i="3" l="1"/>
  <c r="U85" i="3"/>
  <c r="V85" i="3" s="1"/>
  <c r="T87" i="3" l="1"/>
  <c r="U86" i="3"/>
  <c r="V86" i="3" s="1"/>
  <c r="U87" i="3" l="1"/>
  <c r="V87" i="3" s="1"/>
  <c r="T88" i="3"/>
  <c r="U88" i="3" l="1"/>
  <c r="V88" i="3" s="1"/>
  <c r="T89" i="3"/>
  <c r="T90" i="3" l="1"/>
  <c r="U89" i="3"/>
  <c r="V89" i="3" s="1"/>
  <c r="U90" i="3" l="1"/>
  <c r="V90" i="3" s="1"/>
  <c r="T91" i="3"/>
  <c r="U91" i="3" l="1"/>
  <c r="V91" i="3" s="1"/>
  <c r="T92" i="3"/>
  <c r="U92" i="3" l="1"/>
  <c r="V92" i="3" s="1"/>
  <c r="T93" i="3"/>
  <c r="T94" i="3" l="1"/>
  <c r="U93" i="3"/>
  <c r="V93" i="3" s="1"/>
  <c r="T95" i="3" l="1"/>
  <c r="U94" i="3"/>
  <c r="V94" i="3" s="1"/>
  <c r="U95" i="3" l="1"/>
  <c r="V95" i="3" s="1"/>
  <c r="T96" i="3"/>
  <c r="U96" i="3" l="1"/>
  <c r="V96" i="3" s="1"/>
  <c r="T97" i="3"/>
  <c r="T98" i="3" l="1"/>
  <c r="U97" i="3"/>
  <c r="V97" i="3" s="1"/>
  <c r="U98" i="3" l="1"/>
  <c r="V98" i="3" s="1"/>
  <c r="T99" i="3"/>
  <c r="T100" i="3" l="1"/>
  <c r="U99" i="3"/>
  <c r="V99" i="3" s="1"/>
  <c r="T101" i="3" l="1"/>
  <c r="U100" i="3"/>
  <c r="V100" i="3" s="1"/>
  <c r="T102" i="3" l="1"/>
  <c r="U101" i="3"/>
  <c r="V101" i="3" s="1"/>
  <c r="U102" i="3" l="1"/>
  <c r="V102" i="3" s="1"/>
  <c r="T103" i="3"/>
  <c r="T104" i="3" l="1"/>
  <c r="U103" i="3"/>
  <c r="V103" i="3" s="1"/>
  <c r="T105" i="3" l="1"/>
  <c r="U104" i="3"/>
  <c r="V104" i="3" s="1"/>
  <c r="T106" i="3" l="1"/>
  <c r="U105" i="3"/>
  <c r="V105" i="3" s="1"/>
  <c r="U106" i="3" l="1"/>
  <c r="V106" i="3" s="1"/>
  <c r="T107" i="3"/>
  <c r="T108" i="3" l="1"/>
  <c r="U107" i="3"/>
  <c r="V107" i="3" s="1"/>
  <c r="U108" i="3" l="1"/>
  <c r="V108" i="3" s="1"/>
  <c r="T109" i="3"/>
  <c r="U109" i="3" l="1"/>
  <c r="V109" i="3" s="1"/>
  <c r="T110" i="3"/>
  <c r="U110" i="3" l="1"/>
  <c r="V110" i="3" s="1"/>
  <c r="T111" i="3"/>
  <c r="T112" i="3" l="1"/>
  <c r="U111" i="3"/>
  <c r="V111" i="3" s="1"/>
  <c r="U112" i="3" l="1"/>
  <c r="V112" i="3" s="1"/>
  <c r="T113" i="3"/>
  <c r="U113" i="3" l="1"/>
  <c r="V113" i="3" s="1"/>
  <c r="T114" i="3"/>
  <c r="U114" i="3" l="1"/>
  <c r="V114" i="3" s="1"/>
  <c r="T115" i="3"/>
  <c r="U115" i="3" l="1"/>
  <c r="V115" i="3" s="1"/>
  <c r="T116" i="3"/>
  <c r="T117" i="3" l="1"/>
  <c r="U116" i="3"/>
  <c r="V116" i="3" s="1"/>
  <c r="W68" i="3" l="1"/>
  <c r="U117" i="3"/>
  <c r="V117" i="3" s="1"/>
  <c r="X68" i="3" l="1"/>
  <c r="Y68" i="3" s="1"/>
  <c r="W69" i="3"/>
  <c r="X69" i="3" l="1"/>
  <c r="Y69" i="3" s="1"/>
  <c r="W70" i="3"/>
  <c r="X70" i="3" l="1"/>
  <c r="Y70" i="3" s="1"/>
  <c r="W71" i="3"/>
  <c r="W72" i="3" l="1"/>
  <c r="X71" i="3"/>
  <c r="Y71" i="3" s="1"/>
  <c r="W73" i="3" l="1"/>
  <c r="X72" i="3"/>
  <c r="Y72" i="3" s="1"/>
  <c r="X73" i="3" l="1"/>
  <c r="Y73" i="3" s="1"/>
  <c r="W74" i="3"/>
  <c r="W75" i="3" l="1"/>
  <c r="X74" i="3"/>
  <c r="Y74" i="3" s="1"/>
  <c r="W76" i="3" l="1"/>
  <c r="X75" i="3"/>
  <c r="Y75" i="3" s="1"/>
  <c r="W77" i="3" l="1"/>
  <c r="X76" i="3"/>
  <c r="Y76" i="3" s="1"/>
  <c r="X77" i="3" l="1"/>
  <c r="Y77" i="3" s="1"/>
  <c r="W78" i="3"/>
  <c r="X78" i="3" l="1"/>
  <c r="Y78" i="3" s="1"/>
  <c r="W79" i="3"/>
  <c r="W80" i="3" l="1"/>
  <c r="X79" i="3"/>
  <c r="Y79" i="3" s="1"/>
  <c r="X80" i="3" l="1"/>
  <c r="Y80" i="3" s="1"/>
  <c r="W81" i="3"/>
  <c r="X81" i="3" l="1"/>
  <c r="Y81" i="3" s="1"/>
  <c r="W82" i="3"/>
  <c r="X82" i="3" l="1"/>
  <c r="Y82" i="3" s="1"/>
  <c r="W83" i="3"/>
  <c r="W84" i="3" l="1"/>
  <c r="X83" i="3"/>
  <c r="Y83" i="3" s="1"/>
  <c r="W85" i="3" l="1"/>
  <c r="X84" i="3"/>
  <c r="Y84" i="3" s="1"/>
  <c r="X85" i="3" l="1"/>
  <c r="Y85" i="3" s="1"/>
  <c r="W86" i="3"/>
  <c r="W87" i="3" l="1"/>
  <c r="X86" i="3"/>
  <c r="Y86" i="3" s="1"/>
  <c r="W88" i="3" l="1"/>
  <c r="X87" i="3"/>
  <c r="Y87" i="3" s="1"/>
  <c r="W89" i="3" l="1"/>
  <c r="X88" i="3"/>
  <c r="Y88" i="3" s="1"/>
  <c r="X89" i="3" l="1"/>
  <c r="Y89" i="3" s="1"/>
  <c r="W90" i="3"/>
  <c r="X90" i="3" l="1"/>
  <c r="Y90" i="3" s="1"/>
  <c r="W91" i="3"/>
  <c r="W92" i="3" l="1"/>
  <c r="X91" i="3"/>
  <c r="Y91" i="3" s="1"/>
  <c r="X92" i="3" l="1"/>
  <c r="Y92" i="3" s="1"/>
  <c r="W93" i="3"/>
  <c r="X93" i="3" l="1"/>
  <c r="Y93" i="3" s="1"/>
  <c r="W94" i="3"/>
  <c r="W95" i="3" l="1"/>
  <c r="X94" i="3"/>
  <c r="Y94" i="3" s="1"/>
  <c r="W96" i="3" l="1"/>
  <c r="X95" i="3"/>
  <c r="Y95" i="3" s="1"/>
  <c r="X96" i="3" l="1"/>
  <c r="Y96" i="3" s="1"/>
  <c r="W97" i="3"/>
  <c r="X97" i="3" l="1"/>
  <c r="Y97" i="3" s="1"/>
  <c r="W98" i="3"/>
  <c r="W99" i="3" l="1"/>
  <c r="X98" i="3"/>
  <c r="Y98" i="3" s="1"/>
  <c r="W100" i="3" l="1"/>
  <c r="X99" i="3"/>
  <c r="Y99" i="3" s="1"/>
  <c r="X100" i="3" l="1"/>
  <c r="Y100" i="3" s="1"/>
  <c r="W101" i="3"/>
  <c r="W102" i="3" l="1"/>
  <c r="X101" i="3"/>
  <c r="Y101" i="3" s="1"/>
  <c r="W103" i="3" l="1"/>
  <c r="X102" i="3"/>
  <c r="Y102" i="3" s="1"/>
  <c r="W104" i="3" l="1"/>
  <c r="X103" i="3"/>
  <c r="Y103" i="3" s="1"/>
  <c r="X104" i="3" l="1"/>
  <c r="Y104" i="3" s="1"/>
  <c r="W105" i="3"/>
  <c r="X105" i="3" l="1"/>
  <c r="Y105" i="3" s="1"/>
  <c r="W106" i="3"/>
  <c r="W107" i="3" l="1"/>
  <c r="X106" i="3"/>
  <c r="Y106" i="3" s="1"/>
  <c r="W108" i="3" l="1"/>
  <c r="X107" i="3"/>
  <c r="Y107" i="3" s="1"/>
  <c r="W109" i="3" l="1"/>
  <c r="X108" i="3"/>
  <c r="Y108" i="3" s="1"/>
  <c r="X109" i="3" l="1"/>
  <c r="Y109" i="3" s="1"/>
  <c r="W110" i="3"/>
  <c r="W111" i="3" l="1"/>
  <c r="X110" i="3"/>
  <c r="Y110" i="3" s="1"/>
  <c r="X111" i="3" l="1"/>
  <c r="Y111" i="3" s="1"/>
  <c r="W112" i="3"/>
  <c r="X112" i="3" l="1"/>
  <c r="Y112" i="3" s="1"/>
  <c r="W113" i="3"/>
  <c r="X113" i="3" l="1"/>
  <c r="Y113" i="3" s="1"/>
  <c r="W114" i="3"/>
  <c r="W115" i="3" l="1"/>
  <c r="X114" i="3"/>
  <c r="Y114" i="3" s="1"/>
  <c r="X115" i="3" l="1"/>
  <c r="Y115" i="3" s="1"/>
  <c r="W116" i="3"/>
  <c r="X116" i="3" l="1"/>
  <c r="Y116" i="3" s="1"/>
  <c r="W117" i="3"/>
  <c r="N118" i="3" l="1"/>
  <c r="X117" i="3"/>
  <c r="Y117" i="3" s="1"/>
  <c r="O118" i="3" l="1"/>
  <c r="P118" i="3" s="1"/>
  <c r="N119" i="3"/>
  <c r="O119" i="3" l="1"/>
  <c r="P119" i="3" s="1"/>
  <c r="N120" i="3"/>
  <c r="O120" i="3" l="1"/>
  <c r="P120" i="3" s="1"/>
  <c r="N121" i="3"/>
  <c r="O121" i="3" l="1"/>
  <c r="P121" i="3" s="1"/>
  <c r="N122" i="3"/>
  <c r="N123" i="3" l="1"/>
  <c r="O122" i="3"/>
  <c r="P122" i="3" s="1"/>
  <c r="O123" i="3" l="1"/>
  <c r="P123" i="3" s="1"/>
  <c r="N124" i="3"/>
  <c r="N125" i="3" l="1"/>
  <c r="O124" i="3"/>
  <c r="P124" i="3" s="1"/>
  <c r="O125" i="3" l="1"/>
  <c r="P125" i="3" s="1"/>
  <c r="N126" i="3"/>
  <c r="O126" i="3" l="1"/>
  <c r="P126" i="3" s="1"/>
  <c r="N127" i="3"/>
  <c r="N128" i="3" l="1"/>
  <c r="O127" i="3"/>
  <c r="P127" i="3" s="1"/>
  <c r="O128" i="3" l="1"/>
  <c r="P128" i="3" s="1"/>
  <c r="N129" i="3"/>
  <c r="N130" i="3" l="1"/>
  <c r="O129" i="3"/>
  <c r="P129" i="3" s="1"/>
  <c r="N131" i="3" l="1"/>
  <c r="O130" i="3"/>
  <c r="P130" i="3" s="1"/>
  <c r="O131" i="3" l="1"/>
  <c r="P131" i="3" s="1"/>
  <c r="N132" i="3"/>
  <c r="O132" i="3" l="1"/>
  <c r="P132" i="3" s="1"/>
  <c r="N133" i="3"/>
  <c r="O133" i="3" l="1"/>
  <c r="P133" i="3" s="1"/>
  <c r="N134" i="3"/>
  <c r="O134" i="3" l="1"/>
  <c r="P134" i="3" s="1"/>
  <c r="N135" i="3"/>
  <c r="N136" i="3" l="1"/>
  <c r="O135" i="3"/>
  <c r="P135" i="3" s="1"/>
  <c r="N137" i="3" l="1"/>
  <c r="O136" i="3"/>
  <c r="P136" i="3" s="1"/>
  <c r="N138" i="3" l="1"/>
  <c r="O137" i="3"/>
  <c r="P137" i="3" s="1"/>
  <c r="O138" i="3" l="1"/>
  <c r="P138" i="3" s="1"/>
  <c r="N139" i="3"/>
  <c r="N140" i="3" l="1"/>
  <c r="O139" i="3"/>
  <c r="P139" i="3" s="1"/>
  <c r="O140" i="3" l="1"/>
  <c r="P140" i="3" s="1"/>
  <c r="N141" i="3"/>
  <c r="N142" i="3" l="1"/>
  <c r="O141" i="3"/>
  <c r="P141" i="3" s="1"/>
  <c r="N143" i="3" l="1"/>
  <c r="O142" i="3"/>
  <c r="P142" i="3" s="1"/>
  <c r="O143" i="3" l="1"/>
  <c r="P143" i="3" s="1"/>
  <c r="N144" i="3"/>
  <c r="O144" i="3" l="1"/>
  <c r="P144" i="3" s="1"/>
  <c r="N145" i="3"/>
  <c r="N146" i="3" l="1"/>
  <c r="O145" i="3"/>
  <c r="P145" i="3" s="1"/>
  <c r="O146" i="3" l="1"/>
  <c r="P146" i="3" s="1"/>
  <c r="N147" i="3"/>
  <c r="O147" i="3" l="1"/>
  <c r="P147" i="3" s="1"/>
  <c r="N148" i="3"/>
  <c r="O148" i="3" l="1"/>
  <c r="P148" i="3" s="1"/>
  <c r="N149" i="3"/>
  <c r="N150" i="3" l="1"/>
  <c r="O149" i="3"/>
  <c r="P149" i="3" s="1"/>
  <c r="O150" i="3" l="1"/>
  <c r="P150" i="3" s="1"/>
  <c r="N151" i="3"/>
  <c r="O151" i="3" l="1"/>
  <c r="P151" i="3" s="1"/>
  <c r="N152" i="3"/>
  <c r="N153" i="3" l="1"/>
  <c r="O152" i="3"/>
  <c r="P152" i="3" s="1"/>
  <c r="O153" i="3" l="1"/>
  <c r="P153" i="3" s="1"/>
  <c r="N154" i="3"/>
  <c r="N155" i="3" l="1"/>
  <c r="O154" i="3"/>
  <c r="P154" i="3" s="1"/>
  <c r="N156" i="3" l="1"/>
  <c r="O155" i="3"/>
  <c r="P155" i="3" s="1"/>
  <c r="N157" i="3" l="1"/>
  <c r="O156" i="3"/>
  <c r="P156" i="3" s="1"/>
  <c r="O157" i="3" l="1"/>
  <c r="P157" i="3" s="1"/>
  <c r="N158" i="3"/>
  <c r="N159" i="3" l="1"/>
  <c r="O158" i="3"/>
  <c r="P158" i="3" s="1"/>
  <c r="O159" i="3" l="1"/>
  <c r="P159" i="3" s="1"/>
  <c r="N160" i="3"/>
  <c r="N161" i="3" l="1"/>
  <c r="O160" i="3"/>
  <c r="P160" i="3" s="1"/>
  <c r="N162" i="3" l="1"/>
  <c r="O161" i="3"/>
  <c r="P161" i="3" s="1"/>
  <c r="N163" i="3" l="1"/>
  <c r="O162" i="3"/>
  <c r="P162" i="3" s="1"/>
  <c r="O163" i="3" l="1"/>
  <c r="P163" i="3" s="1"/>
  <c r="N164" i="3"/>
  <c r="N165" i="3" l="1"/>
  <c r="O164" i="3"/>
  <c r="P164" i="3" s="1"/>
  <c r="O165" i="3" l="1"/>
  <c r="P165" i="3" s="1"/>
  <c r="N166" i="3"/>
  <c r="O166" i="3" l="1"/>
  <c r="P166" i="3" s="1"/>
  <c r="N167" i="3"/>
  <c r="Q118" i="3" l="1"/>
  <c r="O167" i="3"/>
  <c r="P167" i="3" s="1"/>
  <c r="R118" i="3" l="1"/>
  <c r="S118" i="3" s="1"/>
  <c r="Q119" i="3"/>
  <c r="R119" i="3" l="1"/>
  <c r="S119" i="3" s="1"/>
  <c r="Q120" i="3"/>
  <c r="Q121" i="3" l="1"/>
  <c r="R120" i="3"/>
  <c r="S120" i="3" s="1"/>
  <c r="Q122" i="3" l="1"/>
  <c r="R121" i="3"/>
  <c r="S121" i="3" s="1"/>
  <c r="R122" i="3" l="1"/>
  <c r="S122" i="3" s="1"/>
  <c r="Q123" i="3"/>
  <c r="Q124" i="3" l="1"/>
  <c r="R123" i="3"/>
  <c r="S123" i="3" s="1"/>
  <c r="Q125" i="3" l="1"/>
  <c r="R124" i="3"/>
  <c r="S124" i="3" s="1"/>
  <c r="Q126" i="3" l="1"/>
  <c r="R125" i="3"/>
  <c r="S125" i="3" s="1"/>
  <c r="R126" i="3" l="1"/>
  <c r="S126" i="3" s="1"/>
  <c r="Q127" i="3"/>
  <c r="Q128" i="3" l="1"/>
  <c r="R127" i="3"/>
  <c r="S127" i="3" s="1"/>
  <c r="Q129" i="3" l="1"/>
  <c r="R128" i="3"/>
  <c r="S128" i="3" s="1"/>
  <c r="R129" i="3" l="1"/>
  <c r="S129" i="3" s="1"/>
  <c r="Q130" i="3"/>
  <c r="Q131" i="3" l="1"/>
  <c r="R130" i="3"/>
  <c r="S130" i="3" s="1"/>
  <c r="Q132" i="3" l="1"/>
  <c r="R131" i="3"/>
  <c r="S131" i="3" s="1"/>
  <c r="R132" i="3" l="1"/>
  <c r="S132" i="3" s="1"/>
  <c r="Q133" i="3"/>
  <c r="R133" i="3" l="1"/>
  <c r="S133" i="3" s="1"/>
  <c r="Q134" i="3"/>
  <c r="Q135" i="3" l="1"/>
  <c r="R134" i="3"/>
  <c r="S134" i="3" s="1"/>
  <c r="Q136" i="3" l="1"/>
  <c r="R135" i="3"/>
  <c r="S135" i="3" s="1"/>
  <c r="R136" i="3" l="1"/>
  <c r="S136" i="3" s="1"/>
  <c r="Q137" i="3"/>
  <c r="Q138" i="3" l="1"/>
  <c r="R137" i="3"/>
  <c r="S137" i="3" s="1"/>
  <c r="R138" i="3" l="1"/>
  <c r="S138" i="3" s="1"/>
  <c r="Q139" i="3"/>
  <c r="Q140" i="3" l="1"/>
  <c r="R139" i="3"/>
  <c r="S139" i="3" s="1"/>
  <c r="R140" i="3" l="1"/>
  <c r="S140" i="3" s="1"/>
  <c r="Q141" i="3"/>
  <c r="R141" i="3" l="1"/>
  <c r="S141" i="3" s="1"/>
  <c r="Q142" i="3"/>
  <c r="R142" i="3" l="1"/>
  <c r="S142" i="3" s="1"/>
  <c r="Q143" i="3"/>
  <c r="Q144" i="3" l="1"/>
  <c r="R143" i="3"/>
  <c r="S143" i="3" s="1"/>
  <c r="Q145" i="3" l="1"/>
  <c r="R144" i="3"/>
  <c r="S144" i="3" s="1"/>
  <c r="R145" i="3" l="1"/>
  <c r="S145" i="3" s="1"/>
  <c r="Q146" i="3"/>
  <c r="Q147" i="3" l="1"/>
  <c r="R146" i="3"/>
  <c r="S146" i="3" s="1"/>
  <c r="Q148" i="3" l="1"/>
  <c r="R147" i="3"/>
  <c r="S147" i="3" s="1"/>
  <c r="Q149" i="3" l="1"/>
  <c r="R148" i="3"/>
  <c r="S148" i="3" s="1"/>
  <c r="R149" i="3" l="1"/>
  <c r="S149" i="3" s="1"/>
  <c r="Q150" i="3"/>
  <c r="R150" i="3" l="1"/>
  <c r="S150" i="3" s="1"/>
  <c r="Q151" i="3"/>
  <c r="R151" i="3" l="1"/>
  <c r="S151" i="3" s="1"/>
  <c r="Q152" i="3"/>
  <c r="Q153" i="3" l="1"/>
  <c r="R152" i="3"/>
  <c r="S152" i="3" s="1"/>
  <c r="R153" i="3" l="1"/>
  <c r="S153" i="3" s="1"/>
  <c r="Q154" i="3"/>
  <c r="R154" i="3" l="1"/>
  <c r="S154" i="3" s="1"/>
  <c r="Q155" i="3"/>
  <c r="R155" i="3" l="1"/>
  <c r="S155" i="3" s="1"/>
  <c r="Q156" i="3"/>
  <c r="Q157" i="3" l="1"/>
  <c r="R156" i="3"/>
  <c r="S156" i="3" s="1"/>
  <c r="Q158" i="3" l="1"/>
  <c r="R157" i="3"/>
  <c r="S157" i="3" s="1"/>
  <c r="R158" i="3" l="1"/>
  <c r="S158" i="3" s="1"/>
  <c r="Q159" i="3"/>
  <c r="Q160" i="3" l="1"/>
  <c r="R159" i="3"/>
  <c r="S159" i="3" s="1"/>
  <c r="Q161" i="3" l="1"/>
  <c r="R160" i="3"/>
  <c r="S160" i="3" s="1"/>
  <c r="R161" i="3" l="1"/>
  <c r="S161" i="3" s="1"/>
  <c r="Q162" i="3"/>
  <c r="Q163" i="3" l="1"/>
  <c r="R162" i="3"/>
  <c r="S162" i="3" s="1"/>
  <c r="R163" i="3" l="1"/>
  <c r="S163" i="3" s="1"/>
  <c r="Q164" i="3"/>
  <c r="Q165" i="3" l="1"/>
  <c r="R164" i="3"/>
  <c r="S164" i="3" s="1"/>
  <c r="Q166" i="3" l="1"/>
  <c r="R165" i="3"/>
  <c r="S165" i="3" s="1"/>
  <c r="R166" i="3" l="1"/>
  <c r="S166" i="3" s="1"/>
  <c r="Q167" i="3"/>
  <c r="R167" i="3" l="1"/>
  <c r="S167" i="3" s="1"/>
  <c r="T118" i="3"/>
  <c r="U118" i="3" l="1"/>
  <c r="V118" i="3" s="1"/>
  <c r="T119" i="3"/>
  <c r="T120" i="3" l="1"/>
  <c r="U119" i="3"/>
  <c r="V119" i="3" s="1"/>
  <c r="U120" i="3" l="1"/>
  <c r="V120" i="3" s="1"/>
  <c r="T121" i="3"/>
  <c r="U121" i="3" l="1"/>
  <c r="V121" i="3" s="1"/>
  <c r="T122" i="3"/>
  <c r="U122" i="3" l="1"/>
  <c r="V122" i="3" s="1"/>
  <c r="T123" i="3"/>
  <c r="T124" i="3" l="1"/>
  <c r="U123" i="3"/>
  <c r="V123" i="3" s="1"/>
  <c r="T125" i="3" l="1"/>
  <c r="U124" i="3"/>
  <c r="V124" i="3" s="1"/>
  <c r="T126" i="3" l="1"/>
  <c r="U125" i="3"/>
  <c r="V125" i="3" s="1"/>
  <c r="T127" i="3" l="1"/>
  <c r="U126" i="3"/>
  <c r="V126" i="3" s="1"/>
  <c r="T128" i="3" l="1"/>
  <c r="U127" i="3"/>
  <c r="V127" i="3" s="1"/>
  <c r="T129" i="3" l="1"/>
  <c r="U128" i="3"/>
  <c r="V128" i="3" s="1"/>
  <c r="T130" i="3" l="1"/>
  <c r="U129" i="3"/>
  <c r="V129" i="3" s="1"/>
  <c r="T131" i="3" l="1"/>
  <c r="U130" i="3"/>
  <c r="V130" i="3" s="1"/>
  <c r="T132" i="3" l="1"/>
  <c r="U131" i="3"/>
  <c r="V131" i="3" s="1"/>
  <c r="T133" i="3" l="1"/>
  <c r="U132" i="3"/>
  <c r="V132" i="3" s="1"/>
  <c r="T134" i="3" l="1"/>
  <c r="U133" i="3"/>
  <c r="V133" i="3" s="1"/>
  <c r="T135" i="3" l="1"/>
  <c r="U134" i="3"/>
  <c r="V134" i="3" s="1"/>
  <c r="T136" i="3" l="1"/>
  <c r="U135" i="3"/>
  <c r="V135" i="3" s="1"/>
  <c r="T137" i="3" l="1"/>
  <c r="U136" i="3"/>
  <c r="V136" i="3" s="1"/>
  <c r="T138" i="3" l="1"/>
  <c r="U137" i="3"/>
  <c r="V137" i="3" s="1"/>
  <c r="T139" i="3" l="1"/>
  <c r="U138" i="3"/>
  <c r="V138" i="3" s="1"/>
  <c r="T140" i="3" l="1"/>
  <c r="U139" i="3"/>
  <c r="V139" i="3" s="1"/>
  <c r="T141" i="3" l="1"/>
  <c r="U140" i="3"/>
  <c r="V140" i="3" s="1"/>
  <c r="T142" i="3" l="1"/>
  <c r="U141" i="3"/>
  <c r="V141" i="3" s="1"/>
  <c r="T143" i="3" l="1"/>
  <c r="U142" i="3"/>
  <c r="V142" i="3" s="1"/>
  <c r="U143" i="3" l="1"/>
  <c r="V143" i="3" s="1"/>
  <c r="T144" i="3"/>
  <c r="U144" i="3" l="1"/>
  <c r="V144" i="3" s="1"/>
  <c r="T145" i="3"/>
  <c r="U145" i="3" l="1"/>
  <c r="V145" i="3" s="1"/>
  <c r="T146" i="3"/>
  <c r="U146" i="3" l="1"/>
  <c r="V146" i="3" s="1"/>
  <c r="T147" i="3"/>
  <c r="U147" i="3" l="1"/>
  <c r="V147" i="3" s="1"/>
  <c r="T148" i="3"/>
  <c r="T149" i="3" l="1"/>
  <c r="U148" i="3"/>
  <c r="V148" i="3" s="1"/>
  <c r="U149" i="3" l="1"/>
  <c r="V149" i="3" s="1"/>
  <c r="T150" i="3"/>
  <c r="U150" i="3" l="1"/>
  <c r="V150" i="3" s="1"/>
  <c r="T151" i="3"/>
  <c r="T152" i="3" l="1"/>
  <c r="U151" i="3"/>
  <c r="V151" i="3" s="1"/>
  <c r="T153" i="3" l="1"/>
  <c r="U152" i="3"/>
  <c r="V152" i="3" s="1"/>
  <c r="T154" i="3" l="1"/>
  <c r="U153" i="3"/>
  <c r="V153" i="3" s="1"/>
  <c r="T155" i="3" l="1"/>
  <c r="U154" i="3"/>
  <c r="V154" i="3" s="1"/>
  <c r="T156" i="3" l="1"/>
  <c r="U155" i="3"/>
  <c r="V155" i="3" s="1"/>
  <c r="U156" i="3" l="1"/>
  <c r="V156" i="3" s="1"/>
  <c r="T157" i="3"/>
  <c r="U157" i="3" l="1"/>
  <c r="V157" i="3" s="1"/>
  <c r="T158" i="3"/>
  <c r="U158" i="3" l="1"/>
  <c r="V158" i="3" s="1"/>
  <c r="T159" i="3"/>
  <c r="U159" i="3" l="1"/>
  <c r="V159" i="3" s="1"/>
  <c r="T160" i="3"/>
  <c r="U160" i="3" l="1"/>
  <c r="V160" i="3" s="1"/>
  <c r="T161" i="3"/>
  <c r="T162" i="3" l="1"/>
  <c r="U161" i="3"/>
  <c r="V161" i="3" s="1"/>
  <c r="U162" i="3" l="1"/>
  <c r="V162" i="3" s="1"/>
  <c r="T163" i="3"/>
  <c r="U163" i="3" l="1"/>
  <c r="V163" i="3" s="1"/>
  <c r="T164" i="3"/>
  <c r="T165" i="3" l="1"/>
  <c r="U164" i="3"/>
  <c r="V164" i="3" s="1"/>
  <c r="T166" i="3" l="1"/>
  <c r="U165" i="3"/>
  <c r="V165" i="3" s="1"/>
  <c r="T167" i="3" l="1"/>
  <c r="U166" i="3"/>
  <c r="V166" i="3" s="1"/>
  <c r="U167" i="3" l="1"/>
  <c r="V167" i="3" s="1"/>
  <c r="W118" i="3"/>
  <c r="W119" i="3" l="1"/>
  <c r="X118" i="3"/>
  <c r="Y118" i="3" s="1"/>
  <c r="W120" i="3" l="1"/>
  <c r="X119" i="3"/>
  <c r="Y119" i="3" s="1"/>
  <c r="X120" i="3" l="1"/>
  <c r="Y120" i="3" s="1"/>
  <c r="W121" i="3"/>
  <c r="X121" i="3" l="1"/>
  <c r="Y121" i="3" s="1"/>
  <c r="W122" i="3"/>
  <c r="W123" i="3" l="1"/>
  <c r="X122" i="3"/>
  <c r="Y122" i="3" s="1"/>
  <c r="X123" i="3" l="1"/>
  <c r="Y123" i="3" s="1"/>
  <c r="W124" i="3"/>
  <c r="W125" i="3" l="1"/>
  <c r="X124" i="3"/>
  <c r="Y124" i="3" s="1"/>
  <c r="X125" i="3" l="1"/>
  <c r="Y125" i="3" s="1"/>
  <c r="W126" i="3"/>
  <c r="W127" i="3" l="1"/>
  <c r="X126" i="3"/>
  <c r="Y126" i="3" s="1"/>
  <c r="X127" i="3" l="1"/>
  <c r="Y127" i="3" s="1"/>
  <c r="W128" i="3"/>
  <c r="X128" i="3" l="1"/>
  <c r="Y128" i="3" s="1"/>
  <c r="W129" i="3"/>
  <c r="X129" i="3" l="1"/>
  <c r="Y129" i="3" s="1"/>
  <c r="W130" i="3"/>
  <c r="W131" i="3" l="1"/>
  <c r="X130" i="3"/>
  <c r="Y130" i="3" s="1"/>
  <c r="X131" i="3" l="1"/>
  <c r="Y131" i="3" s="1"/>
  <c r="W132" i="3"/>
  <c r="W133" i="3" l="1"/>
  <c r="X132" i="3"/>
  <c r="Y132" i="3" s="1"/>
  <c r="W134" i="3" l="1"/>
  <c r="X133" i="3"/>
  <c r="Y133" i="3" s="1"/>
  <c r="X134" i="3" l="1"/>
  <c r="Y134" i="3" s="1"/>
  <c r="W135" i="3"/>
  <c r="W136" i="3" l="1"/>
  <c r="X135" i="3"/>
  <c r="Y135" i="3" s="1"/>
  <c r="X136" i="3" l="1"/>
  <c r="Y136" i="3" s="1"/>
  <c r="W137" i="3"/>
  <c r="W138" i="3" l="1"/>
  <c r="X137" i="3"/>
  <c r="Y137" i="3" s="1"/>
  <c r="X138" i="3" l="1"/>
  <c r="Y138" i="3" s="1"/>
  <c r="W139" i="3"/>
  <c r="W140" i="3" l="1"/>
  <c r="X139" i="3"/>
  <c r="Y139" i="3" s="1"/>
  <c r="W141" i="3" l="1"/>
  <c r="X140" i="3"/>
  <c r="Y140" i="3" s="1"/>
  <c r="X141" i="3" l="1"/>
  <c r="Y141" i="3" s="1"/>
  <c r="W142" i="3"/>
  <c r="X142" i="3" l="1"/>
  <c r="Y142" i="3" s="1"/>
  <c r="W143" i="3"/>
  <c r="W144" i="3" l="1"/>
  <c r="X143" i="3"/>
  <c r="Y143" i="3" s="1"/>
  <c r="W145" i="3" l="1"/>
  <c r="X144" i="3"/>
  <c r="Y144" i="3" s="1"/>
  <c r="W146" i="3" l="1"/>
  <c r="X145" i="3"/>
  <c r="Y145" i="3" s="1"/>
  <c r="W147" i="3" l="1"/>
  <c r="X146" i="3"/>
  <c r="Y146" i="3" s="1"/>
  <c r="X147" i="3" l="1"/>
  <c r="Y147" i="3" s="1"/>
  <c r="W148" i="3"/>
  <c r="X148" i="3" l="1"/>
  <c r="Y148" i="3" s="1"/>
  <c r="W149" i="3"/>
  <c r="X149" i="3" l="1"/>
  <c r="Y149" i="3" s="1"/>
  <c r="W150" i="3"/>
  <c r="X150" i="3" l="1"/>
  <c r="Y150" i="3" s="1"/>
  <c r="W151" i="3"/>
  <c r="X151" i="3" l="1"/>
  <c r="Y151" i="3" s="1"/>
  <c r="W152" i="3"/>
  <c r="W153" i="3" l="1"/>
  <c r="X152" i="3"/>
  <c r="Y152" i="3" s="1"/>
  <c r="W154" i="3" l="1"/>
  <c r="X153" i="3"/>
  <c r="Y153" i="3" s="1"/>
  <c r="W155" i="3" l="1"/>
  <c r="X154" i="3"/>
  <c r="Y154" i="3" s="1"/>
  <c r="X155" i="3" l="1"/>
  <c r="Y155" i="3" s="1"/>
  <c r="W156" i="3"/>
  <c r="W157" i="3" l="1"/>
  <c r="X156" i="3"/>
  <c r="Y156" i="3" s="1"/>
  <c r="W158" i="3" l="1"/>
  <c r="X157" i="3"/>
  <c r="Y157" i="3" s="1"/>
  <c r="W159" i="3" l="1"/>
  <c r="X158" i="3"/>
  <c r="Y158" i="3" s="1"/>
  <c r="X159" i="3" l="1"/>
  <c r="Y159" i="3" s="1"/>
  <c r="W160" i="3"/>
  <c r="X160" i="3" l="1"/>
  <c r="Y160" i="3" s="1"/>
  <c r="W161" i="3"/>
  <c r="X161" i="3" l="1"/>
  <c r="Y161" i="3" s="1"/>
  <c r="W162" i="3"/>
  <c r="W163" i="3" l="1"/>
  <c r="X162" i="3"/>
  <c r="Y162" i="3" s="1"/>
  <c r="X163" i="3" l="1"/>
  <c r="Y163" i="3" s="1"/>
  <c r="W164" i="3"/>
  <c r="X164" i="3" l="1"/>
  <c r="Y164" i="3" s="1"/>
  <c r="W165" i="3"/>
  <c r="X165" i="3" l="1"/>
  <c r="Y165" i="3" s="1"/>
  <c r="W166" i="3"/>
  <c r="W167" i="3" l="1"/>
  <c r="X166" i="3"/>
  <c r="Y166" i="3" s="1"/>
  <c r="N168" i="3" l="1"/>
  <c r="X167" i="3"/>
  <c r="Y167" i="3" s="1"/>
  <c r="N169" i="3" l="1"/>
  <c r="O168" i="3"/>
  <c r="P168" i="3" s="1"/>
  <c r="N170" i="3" l="1"/>
  <c r="O169" i="3"/>
  <c r="P169" i="3" s="1"/>
  <c r="O170" i="3" l="1"/>
  <c r="P170" i="3" s="1"/>
  <c r="N171" i="3"/>
  <c r="N172" i="3" l="1"/>
  <c r="O171" i="3"/>
  <c r="P171" i="3" s="1"/>
  <c r="O172" i="3" l="1"/>
  <c r="P172" i="3" s="1"/>
  <c r="N173" i="3"/>
  <c r="N174" i="3" l="1"/>
  <c r="O173" i="3"/>
  <c r="P173" i="3" s="1"/>
  <c r="N175" i="3" l="1"/>
  <c r="O174" i="3"/>
  <c r="P174" i="3" s="1"/>
  <c r="O175" i="3" l="1"/>
  <c r="P175" i="3" s="1"/>
  <c r="N176" i="3"/>
  <c r="O176" i="3" l="1"/>
  <c r="P176" i="3" s="1"/>
  <c r="N177" i="3"/>
  <c r="N178" i="3" l="1"/>
  <c r="O177" i="3"/>
  <c r="P177" i="3" s="1"/>
  <c r="O178" i="3" l="1"/>
  <c r="P178" i="3" s="1"/>
  <c r="N179" i="3"/>
  <c r="O179" i="3" l="1"/>
  <c r="P179" i="3" s="1"/>
  <c r="N180" i="3"/>
  <c r="N181" i="3" l="1"/>
  <c r="O180" i="3"/>
  <c r="P180" i="3" s="1"/>
  <c r="N182" i="3" l="1"/>
  <c r="O181" i="3"/>
  <c r="P181" i="3" s="1"/>
  <c r="N183" i="3" l="1"/>
  <c r="O182" i="3"/>
  <c r="P182" i="3" s="1"/>
  <c r="N184" i="3" l="1"/>
  <c r="O183" i="3"/>
  <c r="P183" i="3" s="1"/>
  <c r="N185" i="3" l="1"/>
  <c r="O184" i="3"/>
  <c r="P184" i="3" s="1"/>
  <c r="N186" i="3" l="1"/>
  <c r="O185" i="3"/>
  <c r="P185" i="3" s="1"/>
  <c r="N187" i="3" l="1"/>
  <c r="O186" i="3"/>
  <c r="P186" i="3" s="1"/>
  <c r="O187" i="3" l="1"/>
  <c r="P187" i="3" s="1"/>
  <c r="N188" i="3"/>
  <c r="N189" i="3" l="1"/>
  <c r="O188" i="3"/>
  <c r="P188" i="3" s="1"/>
  <c r="N190" i="3" l="1"/>
  <c r="O189" i="3"/>
  <c r="P189" i="3" s="1"/>
  <c r="N191" i="3" l="1"/>
  <c r="O190" i="3"/>
  <c r="P190" i="3" s="1"/>
  <c r="O191" i="3" l="1"/>
  <c r="P191" i="3" s="1"/>
  <c r="N192" i="3"/>
  <c r="O192" i="3" l="1"/>
  <c r="P192" i="3" s="1"/>
  <c r="N193" i="3"/>
  <c r="N194" i="3" l="1"/>
  <c r="O193" i="3"/>
  <c r="P193" i="3" s="1"/>
  <c r="O194" i="3" l="1"/>
  <c r="P194" i="3" s="1"/>
  <c r="N195" i="3"/>
  <c r="N196" i="3" l="1"/>
  <c r="O195" i="3"/>
  <c r="P195" i="3" s="1"/>
  <c r="N197" i="3" l="1"/>
  <c r="O196" i="3"/>
  <c r="P196" i="3" s="1"/>
  <c r="O197" i="3" l="1"/>
  <c r="P197" i="3" s="1"/>
  <c r="N198" i="3"/>
  <c r="O198" i="3" l="1"/>
  <c r="P198" i="3" s="1"/>
  <c r="N199" i="3"/>
  <c r="O199" i="3" l="1"/>
  <c r="P199" i="3" s="1"/>
  <c r="N200" i="3"/>
  <c r="N201" i="3" l="1"/>
  <c r="O200" i="3"/>
  <c r="P200" i="3" s="1"/>
  <c r="O201" i="3" l="1"/>
  <c r="P201" i="3" s="1"/>
  <c r="N202" i="3"/>
  <c r="O202" i="3" l="1"/>
  <c r="P202" i="3" s="1"/>
  <c r="N203" i="3"/>
  <c r="N204" i="3" l="1"/>
  <c r="O203" i="3"/>
  <c r="P203" i="3" s="1"/>
  <c r="O204" i="3" l="1"/>
  <c r="P204" i="3" s="1"/>
  <c r="N205" i="3"/>
  <c r="O205" i="3" l="1"/>
  <c r="P205" i="3" s="1"/>
  <c r="N206" i="3"/>
  <c r="O206" i="3" l="1"/>
  <c r="P206" i="3" s="1"/>
  <c r="N207" i="3"/>
  <c r="N208" i="3" l="1"/>
  <c r="O207" i="3"/>
  <c r="P207" i="3" s="1"/>
  <c r="N209" i="3" l="1"/>
  <c r="O208" i="3"/>
  <c r="P208" i="3" s="1"/>
  <c r="N210" i="3" l="1"/>
  <c r="O209" i="3"/>
  <c r="P209" i="3" s="1"/>
  <c r="O210" i="3" l="1"/>
  <c r="P210" i="3" s="1"/>
  <c r="N211" i="3"/>
  <c r="O211" i="3" l="1"/>
  <c r="P211" i="3" s="1"/>
  <c r="N212" i="3"/>
  <c r="O212" i="3" l="1"/>
  <c r="P212" i="3" s="1"/>
  <c r="N213" i="3"/>
  <c r="N214" i="3" l="1"/>
  <c r="O213" i="3"/>
  <c r="P213" i="3" s="1"/>
  <c r="O214" i="3" l="1"/>
  <c r="P214" i="3" s="1"/>
  <c r="N215" i="3"/>
  <c r="N216" i="3" l="1"/>
  <c r="O215" i="3"/>
  <c r="P215" i="3" s="1"/>
  <c r="N217" i="3" l="1"/>
  <c r="O216" i="3"/>
  <c r="P216" i="3" s="1"/>
  <c r="O217" i="3" l="1"/>
  <c r="P217" i="3" s="1"/>
  <c r="Q168" i="3"/>
  <c r="Q169" i="3" l="1"/>
  <c r="R168" i="3"/>
  <c r="S168" i="3" s="1"/>
  <c r="Q170" i="3" l="1"/>
  <c r="R169" i="3"/>
  <c r="S169" i="3" s="1"/>
  <c r="Q171" i="3" l="1"/>
  <c r="R170" i="3"/>
  <c r="S170" i="3" s="1"/>
  <c r="R171" i="3" l="1"/>
  <c r="S171" i="3" s="1"/>
  <c r="Q172" i="3"/>
  <c r="Q173" i="3" l="1"/>
  <c r="R172" i="3"/>
  <c r="S172" i="3" s="1"/>
  <c r="R173" i="3" l="1"/>
  <c r="S173" i="3" s="1"/>
  <c r="Q174" i="3"/>
  <c r="Q175" i="3" l="1"/>
  <c r="R174" i="3"/>
  <c r="S174" i="3" s="1"/>
  <c r="R175" i="3" l="1"/>
  <c r="S175" i="3" s="1"/>
  <c r="Q176" i="3"/>
  <c r="Q177" i="3" l="1"/>
  <c r="R176" i="3"/>
  <c r="S176" i="3" s="1"/>
  <c r="R177" i="3" l="1"/>
  <c r="S177" i="3" s="1"/>
  <c r="Q178" i="3"/>
  <c r="R178" i="3" l="1"/>
  <c r="S178" i="3" s="1"/>
  <c r="Q179" i="3"/>
  <c r="R179" i="3" l="1"/>
  <c r="S179" i="3" s="1"/>
  <c r="Q180" i="3"/>
  <c r="R180" i="3" l="1"/>
  <c r="S180" i="3" s="1"/>
  <c r="Q181" i="3"/>
  <c r="Q182" i="3" l="1"/>
  <c r="R181" i="3"/>
  <c r="S181" i="3" s="1"/>
  <c r="Q183" i="3" l="1"/>
  <c r="R182" i="3"/>
  <c r="S182" i="3" s="1"/>
  <c r="Q184" i="3" l="1"/>
  <c r="R183" i="3"/>
  <c r="S183" i="3" s="1"/>
  <c r="R184" i="3" l="1"/>
  <c r="S184" i="3" s="1"/>
  <c r="Q185" i="3"/>
  <c r="Q186" i="3" l="1"/>
  <c r="R185" i="3"/>
  <c r="S185" i="3" s="1"/>
  <c r="R186" i="3" l="1"/>
  <c r="S186" i="3" s="1"/>
  <c r="Q187" i="3"/>
  <c r="R187" i="3" l="1"/>
  <c r="S187" i="3" s="1"/>
  <c r="Q188" i="3"/>
  <c r="Q189" i="3" l="1"/>
  <c r="R188" i="3"/>
  <c r="S188" i="3" s="1"/>
  <c r="R189" i="3" l="1"/>
  <c r="S189" i="3" s="1"/>
  <c r="Q190" i="3"/>
  <c r="R190" i="3" l="1"/>
  <c r="S190" i="3" s="1"/>
  <c r="Q191" i="3"/>
  <c r="Q192" i="3" l="1"/>
  <c r="R191" i="3"/>
  <c r="S191" i="3" s="1"/>
  <c r="Q193" i="3" l="1"/>
  <c r="R192" i="3"/>
  <c r="S192" i="3" s="1"/>
  <c r="R193" i="3" l="1"/>
  <c r="S193" i="3" s="1"/>
  <c r="Q194" i="3"/>
  <c r="R194" i="3" l="1"/>
  <c r="S194" i="3" s="1"/>
  <c r="Q195" i="3"/>
  <c r="R195" i="3" l="1"/>
  <c r="S195" i="3" s="1"/>
  <c r="Q196" i="3"/>
  <c r="R196" i="3" l="1"/>
  <c r="S196" i="3" s="1"/>
  <c r="Q197" i="3"/>
  <c r="Q198" i="3" l="1"/>
  <c r="R197" i="3"/>
  <c r="S197" i="3" s="1"/>
  <c r="Q199" i="3" l="1"/>
  <c r="R198" i="3"/>
  <c r="S198" i="3" s="1"/>
  <c r="Q200" i="3" l="1"/>
  <c r="R199" i="3"/>
  <c r="S199" i="3" s="1"/>
  <c r="Q201" i="3" l="1"/>
  <c r="R200" i="3"/>
  <c r="S200" i="3" s="1"/>
  <c r="Q202" i="3" l="1"/>
  <c r="R201" i="3"/>
  <c r="S201" i="3" s="1"/>
  <c r="Q203" i="3" l="1"/>
  <c r="R202" i="3"/>
  <c r="S202" i="3" s="1"/>
  <c r="R203" i="3" l="1"/>
  <c r="S203" i="3" s="1"/>
  <c r="Q204" i="3"/>
  <c r="Q205" i="3" l="1"/>
  <c r="R204" i="3"/>
  <c r="S204" i="3" s="1"/>
  <c r="Q206" i="3" l="1"/>
  <c r="R205" i="3"/>
  <c r="S205" i="3" s="1"/>
  <c r="Q207" i="3" l="1"/>
  <c r="R206" i="3"/>
  <c r="S206" i="3" s="1"/>
  <c r="R207" i="3" l="1"/>
  <c r="S207" i="3" s="1"/>
  <c r="Q208" i="3"/>
  <c r="R208" i="3" l="1"/>
  <c r="S208" i="3" s="1"/>
  <c r="Q209" i="3"/>
  <c r="R209" i="3" l="1"/>
  <c r="S209" i="3" s="1"/>
  <c r="Q210" i="3"/>
  <c r="Q211" i="3" l="1"/>
  <c r="R210" i="3"/>
  <c r="S210" i="3" s="1"/>
  <c r="R211" i="3" l="1"/>
  <c r="S211" i="3" s="1"/>
  <c r="Q212" i="3"/>
  <c r="R212" i="3" l="1"/>
  <c r="S212" i="3" s="1"/>
  <c r="Q213" i="3"/>
  <c r="Q214" i="3" l="1"/>
  <c r="R213" i="3"/>
  <c r="S213" i="3" s="1"/>
  <c r="Q215" i="3" l="1"/>
  <c r="R214" i="3"/>
  <c r="S214" i="3" s="1"/>
  <c r="R215" i="3" l="1"/>
  <c r="S215" i="3" s="1"/>
  <c r="Q216" i="3"/>
  <c r="R216" i="3" l="1"/>
  <c r="S216" i="3" s="1"/>
  <c r="Q217" i="3"/>
  <c r="T168" i="3" l="1"/>
  <c r="R217" i="3"/>
  <c r="S217" i="3" s="1"/>
  <c r="U168" i="3" l="1"/>
  <c r="V168" i="3" s="1"/>
  <c r="T169" i="3"/>
  <c r="T170" i="3" l="1"/>
  <c r="U169" i="3"/>
  <c r="V169" i="3" s="1"/>
  <c r="T171" i="3" l="1"/>
  <c r="U170" i="3"/>
  <c r="V170" i="3" s="1"/>
  <c r="U171" i="3" l="1"/>
  <c r="V171" i="3" s="1"/>
  <c r="T172" i="3"/>
  <c r="U172" i="3" l="1"/>
  <c r="V172" i="3" s="1"/>
  <c r="T173" i="3"/>
  <c r="T174" i="3" l="1"/>
  <c r="U173" i="3"/>
  <c r="V173" i="3" s="1"/>
  <c r="T175" i="3" l="1"/>
  <c r="U174" i="3"/>
  <c r="V174" i="3" s="1"/>
  <c r="T176" i="3" l="1"/>
  <c r="U175" i="3"/>
  <c r="V175" i="3" s="1"/>
  <c r="U176" i="3" l="1"/>
  <c r="V176" i="3" s="1"/>
  <c r="T177" i="3"/>
  <c r="T178" i="3" l="1"/>
  <c r="U177" i="3"/>
  <c r="V177" i="3" s="1"/>
  <c r="T179" i="3" l="1"/>
  <c r="U178" i="3"/>
  <c r="V178" i="3" s="1"/>
  <c r="T180" i="3" l="1"/>
  <c r="U179" i="3"/>
  <c r="V179" i="3" s="1"/>
  <c r="U180" i="3" l="1"/>
  <c r="V180" i="3" s="1"/>
  <c r="T181" i="3"/>
  <c r="U181" i="3" l="1"/>
  <c r="V181" i="3" s="1"/>
  <c r="T182" i="3"/>
  <c r="U182" i="3" l="1"/>
  <c r="V182" i="3" s="1"/>
  <c r="T183" i="3"/>
  <c r="T184" i="3" l="1"/>
  <c r="U183" i="3"/>
  <c r="V183" i="3" s="1"/>
  <c r="U184" i="3" l="1"/>
  <c r="V184" i="3" s="1"/>
  <c r="T185" i="3"/>
  <c r="U185" i="3" l="1"/>
  <c r="V185" i="3" s="1"/>
  <c r="T186" i="3"/>
  <c r="T187" i="3" l="1"/>
  <c r="U186" i="3"/>
  <c r="V186" i="3" s="1"/>
  <c r="U187" i="3" l="1"/>
  <c r="V187" i="3" s="1"/>
  <c r="T188" i="3"/>
  <c r="U188" i="3" l="1"/>
  <c r="V188" i="3" s="1"/>
  <c r="T189" i="3"/>
  <c r="T190" i="3" l="1"/>
  <c r="U189" i="3"/>
  <c r="V189" i="3" s="1"/>
  <c r="T191" i="3" l="1"/>
  <c r="U190" i="3"/>
  <c r="V190" i="3" s="1"/>
  <c r="T192" i="3" l="1"/>
  <c r="U191" i="3"/>
  <c r="V191" i="3" s="1"/>
  <c r="U192" i="3" l="1"/>
  <c r="V192" i="3" s="1"/>
  <c r="T193" i="3"/>
  <c r="T194" i="3" l="1"/>
  <c r="U193" i="3"/>
  <c r="V193" i="3" s="1"/>
  <c r="U194" i="3" l="1"/>
  <c r="V194" i="3" s="1"/>
  <c r="T195" i="3"/>
  <c r="T196" i="3" l="1"/>
  <c r="U195" i="3"/>
  <c r="V195" i="3" s="1"/>
  <c r="U196" i="3" l="1"/>
  <c r="V196" i="3" s="1"/>
  <c r="T197" i="3"/>
  <c r="T198" i="3" l="1"/>
  <c r="U197" i="3"/>
  <c r="V197" i="3" s="1"/>
  <c r="T199" i="3" l="1"/>
  <c r="U198" i="3"/>
  <c r="V198" i="3" s="1"/>
  <c r="U199" i="3" l="1"/>
  <c r="V199" i="3" s="1"/>
  <c r="T200" i="3"/>
  <c r="T201" i="3" l="1"/>
  <c r="U200" i="3"/>
  <c r="V200" i="3" s="1"/>
  <c r="U201" i="3" l="1"/>
  <c r="V201" i="3" s="1"/>
  <c r="T202" i="3"/>
  <c r="T203" i="3" l="1"/>
  <c r="U202" i="3"/>
  <c r="V202" i="3" s="1"/>
  <c r="U203" i="3" l="1"/>
  <c r="V203" i="3" s="1"/>
  <c r="T204" i="3"/>
  <c r="U204" i="3" l="1"/>
  <c r="V204" i="3" s="1"/>
  <c r="T205" i="3"/>
  <c r="U205" i="3" l="1"/>
  <c r="V205" i="3" s="1"/>
  <c r="T206" i="3"/>
  <c r="U206" i="3" l="1"/>
  <c r="V206" i="3" s="1"/>
  <c r="T207" i="3"/>
  <c r="U207" i="3" l="1"/>
  <c r="V207" i="3" s="1"/>
  <c r="T208" i="3"/>
  <c r="U208" i="3" l="1"/>
  <c r="V208" i="3" s="1"/>
  <c r="T209" i="3"/>
  <c r="T210" i="3" l="1"/>
  <c r="U209" i="3"/>
  <c r="V209" i="3" s="1"/>
  <c r="U210" i="3" l="1"/>
  <c r="V210" i="3" s="1"/>
  <c r="T211" i="3"/>
  <c r="U211" i="3" l="1"/>
  <c r="V211" i="3" s="1"/>
  <c r="T212" i="3"/>
  <c r="T213" i="3" l="1"/>
  <c r="U212" i="3"/>
  <c r="V212" i="3" s="1"/>
  <c r="U213" i="3" l="1"/>
  <c r="V213" i="3" s="1"/>
  <c r="T214" i="3"/>
  <c r="T215" i="3" l="1"/>
  <c r="U214" i="3"/>
  <c r="V214" i="3" s="1"/>
  <c r="T216" i="3" l="1"/>
  <c r="U215" i="3"/>
  <c r="V215" i="3" s="1"/>
  <c r="U216" i="3" l="1"/>
  <c r="V216" i="3" s="1"/>
  <c r="T217" i="3"/>
  <c r="U217" i="3" l="1"/>
  <c r="V217" i="3" s="1"/>
  <c r="W168" i="3"/>
  <c r="W169" i="3" l="1"/>
  <c r="X168" i="3"/>
  <c r="Y168" i="3" s="1"/>
  <c r="W170" i="3" l="1"/>
  <c r="X169" i="3"/>
  <c r="Y169" i="3" s="1"/>
  <c r="X170" i="3" l="1"/>
  <c r="Y170" i="3" s="1"/>
  <c r="W171" i="3"/>
  <c r="X171" i="3" l="1"/>
  <c r="Y171" i="3" s="1"/>
  <c r="W172" i="3"/>
  <c r="X172" i="3" l="1"/>
  <c r="Y172" i="3" s="1"/>
  <c r="W173" i="3"/>
  <c r="X173" i="3" l="1"/>
  <c r="Y173" i="3" s="1"/>
  <c r="W174" i="3"/>
  <c r="X174" i="3" l="1"/>
  <c r="Y174" i="3" s="1"/>
  <c r="W175" i="3"/>
  <c r="W176" i="3" l="1"/>
  <c r="X175" i="3"/>
  <c r="Y175" i="3" s="1"/>
  <c r="X176" i="3" l="1"/>
  <c r="Y176" i="3" s="1"/>
  <c r="W177" i="3"/>
  <c r="X177" i="3" l="1"/>
  <c r="Y177" i="3" s="1"/>
  <c r="W178" i="3"/>
  <c r="W179" i="3" l="1"/>
  <c r="X178" i="3"/>
  <c r="Y178" i="3" s="1"/>
  <c r="W180" i="3" l="1"/>
  <c r="X179" i="3"/>
  <c r="Y179" i="3" s="1"/>
  <c r="W181" i="3" l="1"/>
  <c r="X180" i="3"/>
  <c r="Y180" i="3" s="1"/>
  <c r="W182" i="3" l="1"/>
  <c r="X181" i="3"/>
  <c r="Y181" i="3" s="1"/>
  <c r="X182" i="3" l="1"/>
  <c r="Y182" i="3" s="1"/>
  <c r="W183" i="3"/>
  <c r="X183" i="3" l="1"/>
  <c r="Y183" i="3" s="1"/>
  <c r="W184" i="3"/>
  <c r="W185" i="3" l="1"/>
  <c r="X184" i="3"/>
  <c r="Y184" i="3" s="1"/>
  <c r="W186" i="3" l="1"/>
  <c r="X185" i="3"/>
  <c r="Y185" i="3" s="1"/>
  <c r="W187" i="3" l="1"/>
  <c r="X186" i="3"/>
  <c r="Y186" i="3" s="1"/>
  <c r="W188" i="3" l="1"/>
  <c r="X187" i="3"/>
  <c r="Y187" i="3" s="1"/>
  <c r="W189" i="3" l="1"/>
  <c r="X188" i="3"/>
  <c r="Y188" i="3" s="1"/>
  <c r="X189" i="3" l="1"/>
  <c r="Y189" i="3" s="1"/>
  <c r="W190" i="3"/>
  <c r="X190" i="3" l="1"/>
  <c r="Y190" i="3" s="1"/>
  <c r="W191" i="3"/>
  <c r="X191" i="3" l="1"/>
  <c r="Y191" i="3" s="1"/>
  <c r="W192" i="3"/>
  <c r="W193" i="3" l="1"/>
  <c r="X192" i="3"/>
  <c r="Y192" i="3" s="1"/>
  <c r="W194" i="3" l="1"/>
  <c r="X193" i="3"/>
  <c r="Y193" i="3" s="1"/>
  <c r="W195" i="3" l="1"/>
  <c r="X194" i="3"/>
  <c r="Y194" i="3" s="1"/>
  <c r="X195" i="3" l="1"/>
  <c r="Y195" i="3" s="1"/>
  <c r="W196" i="3"/>
  <c r="X196" i="3" l="1"/>
  <c r="Y196" i="3" s="1"/>
  <c r="W197" i="3"/>
  <c r="W198" i="3" l="1"/>
  <c r="X197" i="3"/>
  <c r="Y197" i="3" s="1"/>
  <c r="W199" i="3" l="1"/>
  <c r="X198" i="3"/>
  <c r="Y198" i="3" s="1"/>
  <c r="W200" i="3" l="1"/>
  <c r="X199" i="3"/>
  <c r="Y199" i="3" s="1"/>
  <c r="X200" i="3" l="1"/>
  <c r="Y200" i="3" s="1"/>
  <c r="W201" i="3"/>
  <c r="X201" i="3" l="1"/>
  <c r="Y201" i="3" s="1"/>
  <c r="W202" i="3"/>
  <c r="X202" i="3" l="1"/>
  <c r="Y202" i="3" s="1"/>
  <c r="W203" i="3"/>
  <c r="W204" i="3" l="1"/>
  <c r="X203" i="3"/>
  <c r="Y203" i="3" s="1"/>
  <c r="X204" i="3" l="1"/>
  <c r="Y204" i="3" s="1"/>
  <c r="W205" i="3"/>
  <c r="W206" i="3" l="1"/>
  <c r="X205" i="3"/>
  <c r="Y205" i="3" s="1"/>
  <c r="W207" i="3" l="1"/>
  <c r="X206" i="3"/>
  <c r="Y206" i="3" s="1"/>
  <c r="W208" i="3" l="1"/>
  <c r="X207" i="3"/>
  <c r="Y207" i="3" s="1"/>
  <c r="X208" i="3" l="1"/>
  <c r="Y208" i="3" s="1"/>
  <c r="W209" i="3"/>
  <c r="X209" i="3" l="1"/>
  <c r="Y209" i="3" s="1"/>
  <c r="W210" i="3"/>
  <c r="W211" i="3" l="1"/>
  <c r="X210" i="3"/>
  <c r="Y210" i="3" s="1"/>
  <c r="W212" i="3" l="1"/>
  <c r="X211" i="3"/>
  <c r="Y211" i="3" s="1"/>
  <c r="W213" i="3" l="1"/>
  <c r="X212" i="3"/>
  <c r="Y212" i="3" s="1"/>
  <c r="X213" i="3" l="1"/>
  <c r="Y213" i="3" s="1"/>
  <c r="W214" i="3"/>
  <c r="W215" i="3" l="1"/>
  <c r="X214" i="3"/>
  <c r="Y214" i="3" s="1"/>
  <c r="X215" i="3" l="1"/>
  <c r="Y215" i="3" s="1"/>
  <c r="W216" i="3"/>
  <c r="W217" i="3" l="1"/>
  <c r="X216" i="3"/>
  <c r="Y216" i="3" s="1"/>
  <c r="X217" i="3" l="1"/>
  <c r="Y217" i="3" s="1"/>
  <c r="N218" i="3"/>
  <c r="N219" i="3" l="1"/>
  <c r="O218" i="3"/>
  <c r="P218" i="3" s="1"/>
  <c r="O219" i="3" l="1"/>
  <c r="P219" i="3" s="1"/>
  <c r="N220" i="3"/>
  <c r="N221" i="3" l="1"/>
  <c r="O220" i="3"/>
  <c r="P220" i="3" s="1"/>
  <c r="O221" i="3" l="1"/>
  <c r="P221" i="3" s="1"/>
  <c r="N222" i="3"/>
  <c r="N223" i="3" l="1"/>
  <c r="O222" i="3"/>
  <c r="P222" i="3" s="1"/>
  <c r="O223" i="3" l="1"/>
  <c r="P223" i="3" s="1"/>
  <c r="N224" i="3"/>
  <c r="O224" i="3" l="1"/>
  <c r="P224" i="3" s="1"/>
  <c r="N225" i="3"/>
  <c r="O225" i="3" l="1"/>
  <c r="P225" i="3" s="1"/>
  <c r="N226" i="3"/>
  <c r="N227" i="3" l="1"/>
  <c r="O226" i="3"/>
  <c r="P226" i="3" s="1"/>
  <c r="N228" i="3" l="1"/>
  <c r="O227" i="3"/>
  <c r="P227" i="3" s="1"/>
  <c r="N229" i="3" l="1"/>
  <c r="O228" i="3"/>
  <c r="P228" i="3" s="1"/>
  <c r="O229" i="3" l="1"/>
  <c r="P229" i="3" s="1"/>
  <c r="N230" i="3"/>
  <c r="N231" i="3" l="1"/>
  <c r="O230" i="3"/>
  <c r="P230" i="3" s="1"/>
  <c r="N232" i="3" l="1"/>
  <c r="O231" i="3"/>
  <c r="P231" i="3" s="1"/>
  <c r="O232" i="3" l="1"/>
  <c r="P232" i="3" s="1"/>
  <c r="N233" i="3"/>
  <c r="N234" i="3" l="1"/>
  <c r="O233" i="3"/>
  <c r="P233" i="3" s="1"/>
  <c r="N235" i="3" l="1"/>
  <c r="O234" i="3"/>
  <c r="P234" i="3" s="1"/>
  <c r="N236" i="3" l="1"/>
  <c r="O235" i="3"/>
  <c r="P235" i="3" s="1"/>
  <c r="N237" i="3" l="1"/>
  <c r="O236" i="3"/>
  <c r="P236" i="3" s="1"/>
  <c r="O237" i="3" l="1"/>
  <c r="P237" i="3" s="1"/>
  <c r="N238" i="3"/>
  <c r="N239" i="3" l="1"/>
  <c r="O238" i="3"/>
  <c r="P238" i="3" s="1"/>
  <c r="O239" i="3" l="1"/>
  <c r="P239" i="3" s="1"/>
  <c r="N240" i="3"/>
  <c r="O240" i="3" l="1"/>
  <c r="P240" i="3" s="1"/>
  <c r="N241" i="3"/>
  <c r="N242" i="3" l="1"/>
  <c r="O241" i="3"/>
  <c r="P241" i="3" s="1"/>
  <c r="N243" i="3" l="1"/>
  <c r="O242" i="3"/>
  <c r="P242" i="3" s="1"/>
  <c r="O243" i="3" l="1"/>
  <c r="P243" i="3" s="1"/>
  <c r="N244" i="3"/>
  <c r="O244" i="3" l="1"/>
  <c r="P244" i="3" s="1"/>
  <c r="N245" i="3"/>
  <c r="N246" i="3" l="1"/>
  <c r="O245" i="3"/>
  <c r="P245" i="3" s="1"/>
  <c r="N247" i="3" l="1"/>
  <c r="O246" i="3"/>
  <c r="P246" i="3" s="1"/>
  <c r="N248" i="3" l="1"/>
  <c r="O247" i="3"/>
  <c r="P247" i="3" s="1"/>
  <c r="N249" i="3" l="1"/>
  <c r="O248" i="3"/>
  <c r="P248" i="3" s="1"/>
  <c r="O249" i="3" l="1"/>
  <c r="P249" i="3" s="1"/>
  <c r="N250" i="3"/>
  <c r="N251" i="3" l="1"/>
  <c r="O250" i="3"/>
  <c r="P250" i="3" s="1"/>
  <c r="N252" i="3" l="1"/>
  <c r="O251" i="3"/>
  <c r="P251" i="3" s="1"/>
  <c r="O252" i="3" l="1"/>
  <c r="P252" i="3" s="1"/>
  <c r="N253" i="3"/>
  <c r="N254" i="3" l="1"/>
  <c r="O253" i="3"/>
  <c r="P253" i="3" s="1"/>
  <c r="N255" i="3" l="1"/>
  <c r="O254" i="3"/>
  <c r="P254" i="3" s="1"/>
  <c r="N256" i="3" l="1"/>
  <c r="O255" i="3"/>
  <c r="P255" i="3" s="1"/>
  <c r="N257" i="3" l="1"/>
  <c r="O256" i="3"/>
  <c r="P256" i="3" s="1"/>
  <c r="O257" i="3" l="1"/>
  <c r="P257" i="3" s="1"/>
  <c r="N258" i="3"/>
  <c r="N259" i="3" l="1"/>
  <c r="O258" i="3"/>
  <c r="P258" i="3" s="1"/>
  <c r="N260" i="3" l="1"/>
  <c r="O259" i="3"/>
  <c r="P259" i="3" s="1"/>
  <c r="O260" i="3" l="1"/>
  <c r="P260" i="3" s="1"/>
  <c r="N261" i="3"/>
  <c r="O261" i="3" l="1"/>
  <c r="P261" i="3" s="1"/>
  <c r="N262" i="3"/>
  <c r="O262" i="3" l="1"/>
  <c r="P262" i="3" s="1"/>
  <c r="N263" i="3"/>
  <c r="O263" i="3" l="1"/>
  <c r="P263" i="3" s="1"/>
  <c r="N264" i="3"/>
  <c r="N265" i="3" l="1"/>
  <c r="O264" i="3"/>
  <c r="P264" i="3" s="1"/>
  <c r="N266" i="3" l="1"/>
  <c r="O265" i="3"/>
  <c r="P265" i="3" s="1"/>
  <c r="N267" i="3" l="1"/>
  <c r="O266" i="3"/>
  <c r="P266" i="3" s="1"/>
  <c r="O267" i="3" l="1"/>
  <c r="P267" i="3" s="1"/>
  <c r="Q218" i="3"/>
  <c r="Q219" i="3" l="1"/>
  <c r="R218" i="3"/>
  <c r="S218" i="3" s="1"/>
  <c r="Q220" i="3" l="1"/>
  <c r="R219" i="3"/>
  <c r="S219" i="3" s="1"/>
  <c r="R220" i="3" l="1"/>
  <c r="S220" i="3" s="1"/>
  <c r="Q221" i="3"/>
  <c r="Q222" i="3" l="1"/>
  <c r="R221" i="3"/>
  <c r="S221" i="3" s="1"/>
  <c r="Q223" i="3" l="1"/>
  <c r="R222" i="3"/>
  <c r="S222" i="3" s="1"/>
  <c r="Q224" i="3" l="1"/>
  <c r="R223" i="3"/>
  <c r="S223" i="3" s="1"/>
  <c r="R224" i="3" l="1"/>
  <c r="S224" i="3" s="1"/>
  <c r="Q225" i="3"/>
  <c r="R225" i="3" l="1"/>
  <c r="S225" i="3" s="1"/>
  <c r="Q226" i="3"/>
  <c r="Q227" i="3" l="1"/>
  <c r="R226" i="3"/>
  <c r="S226" i="3" s="1"/>
  <c r="Q228" i="3" l="1"/>
  <c r="R227" i="3"/>
  <c r="S227" i="3" s="1"/>
  <c r="Q229" i="3" l="1"/>
  <c r="R228" i="3"/>
  <c r="S228" i="3" s="1"/>
  <c r="Q230" i="3" l="1"/>
  <c r="R229" i="3"/>
  <c r="S229" i="3" s="1"/>
  <c r="Q231" i="3" l="1"/>
  <c r="R230" i="3"/>
  <c r="S230" i="3" s="1"/>
  <c r="R231" i="3" l="1"/>
  <c r="S231" i="3" s="1"/>
  <c r="Q232" i="3"/>
  <c r="R232" i="3" l="1"/>
  <c r="S232" i="3" s="1"/>
  <c r="Q233" i="3"/>
  <c r="R233" i="3" l="1"/>
  <c r="S233" i="3" s="1"/>
  <c r="Q234" i="3"/>
  <c r="Q235" i="3" l="1"/>
  <c r="R234" i="3"/>
  <c r="S234" i="3" s="1"/>
  <c r="Q236" i="3" l="1"/>
  <c r="R235" i="3"/>
  <c r="S235" i="3" s="1"/>
  <c r="R236" i="3" l="1"/>
  <c r="S236" i="3" s="1"/>
  <c r="Q237" i="3"/>
  <c r="Q238" i="3" l="1"/>
  <c r="R237" i="3"/>
  <c r="S237" i="3" s="1"/>
  <c r="Q239" i="3" l="1"/>
  <c r="R238" i="3"/>
  <c r="S238" i="3" s="1"/>
  <c r="Q240" i="3" l="1"/>
  <c r="R239" i="3"/>
  <c r="S239" i="3" s="1"/>
  <c r="R240" i="3" l="1"/>
  <c r="S240" i="3" s="1"/>
  <c r="Q241" i="3"/>
  <c r="R241" i="3" l="1"/>
  <c r="S241" i="3" s="1"/>
  <c r="Q242" i="3"/>
  <c r="Q243" i="3" l="1"/>
  <c r="R242" i="3"/>
  <c r="S242" i="3" s="1"/>
  <c r="Q244" i="3" l="1"/>
  <c r="R243" i="3"/>
  <c r="S243" i="3" s="1"/>
  <c r="R244" i="3" l="1"/>
  <c r="S244" i="3" s="1"/>
  <c r="Q245" i="3"/>
  <c r="Q246" i="3" l="1"/>
  <c r="R245" i="3"/>
  <c r="S245" i="3" s="1"/>
  <c r="R246" i="3" l="1"/>
  <c r="S246" i="3" s="1"/>
  <c r="Q247" i="3"/>
  <c r="Q248" i="3" l="1"/>
  <c r="R247" i="3"/>
  <c r="S247" i="3" s="1"/>
  <c r="Q249" i="3" l="1"/>
  <c r="R248" i="3"/>
  <c r="S248" i="3" s="1"/>
  <c r="Q250" i="3" l="1"/>
  <c r="R249" i="3"/>
  <c r="S249" i="3" s="1"/>
  <c r="Q251" i="3" l="1"/>
  <c r="R250" i="3"/>
  <c r="S250" i="3" s="1"/>
  <c r="Q252" i="3" l="1"/>
  <c r="R251" i="3"/>
  <c r="S251" i="3" s="1"/>
  <c r="R252" i="3" l="1"/>
  <c r="S252" i="3" s="1"/>
  <c r="Q253" i="3"/>
  <c r="R253" i="3" l="1"/>
  <c r="S253" i="3" s="1"/>
  <c r="Q254" i="3"/>
  <c r="Q255" i="3" l="1"/>
  <c r="R254" i="3"/>
  <c r="S254" i="3" s="1"/>
  <c r="R255" i="3" l="1"/>
  <c r="S255" i="3" s="1"/>
  <c r="Q256" i="3"/>
  <c r="Q257" i="3" l="1"/>
  <c r="R256" i="3"/>
  <c r="S256" i="3" s="1"/>
  <c r="R257" i="3" l="1"/>
  <c r="S257" i="3" s="1"/>
  <c r="Q258" i="3"/>
  <c r="R258" i="3" l="1"/>
  <c r="S258" i="3" s="1"/>
  <c r="Q259" i="3"/>
  <c r="R259" i="3" l="1"/>
  <c r="S259" i="3" s="1"/>
  <c r="Q260" i="3"/>
  <c r="Q261" i="3" l="1"/>
  <c r="R260" i="3"/>
  <c r="S260" i="3" s="1"/>
  <c r="Q262" i="3" l="1"/>
  <c r="R261" i="3"/>
  <c r="S261" i="3" s="1"/>
  <c r="Q263" i="3" l="1"/>
  <c r="R262" i="3"/>
  <c r="S262" i="3" s="1"/>
  <c r="R263" i="3" l="1"/>
  <c r="S263" i="3" s="1"/>
  <c r="Q264" i="3"/>
  <c r="R264" i="3" l="1"/>
  <c r="S264" i="3" s="1"/>
  <c r="Q265" i="3"/>
  <c r="R265" i="3" l="1"/>
  <c r="S265" i="3" s="1"/>
  <c r="Q266" i="3"/>
  <c r="Q267" i="3" l="1"/>
  <c r="R266" i="3"/>
  <c r="S266" i="3" s="1"/>
  <c r="R267" i="3" l="1"/>
  <c r="S267" i="3" s="1"/>
  <c r="T218" i="3"/>
  <c r="T219" i="3" l="1"/>
  <c r="U218" i="3"/>
  <c r="V218" i="3" s="1"/>
  <c r="U219" i="3" l="1"/>
  <c r="V219" i="3" s="1"/>
  <c r="T220" i="3"/>
  <c r="T221" i="3" l="1"/>
  <c r="U220" i="3"/>
  <c r="V220" i="3" s="1"/>
  <c r="T222" i="3" l="1"/>
  <c r="U221" i="3"/>
  <c r="V221" i="3" s="1"/>
  <c r="T223" i="3" l="1"/>
  <c r="U222" i="3"/>
  <c r="V222" i="3" s="1"/>
  <c r="U223" i="3" l="1"/>
  <c r="V223" i="3" s="1"/>
  <c r="T224" i="3"/>
  <c r="T225" i="3" l="1"/>
  <c r="U224" i="3"/>
  <c r="V224" i="3" s="1"/>
  <c r="U225" i="3" l="1"/>
  <c r="V225" i="3" s="1"/>
  <c r="T226" i="3"/>
  <c r="U226" i="3" l="1"/>
  <c r="V226" i="3" s="1"/>
  <c r="T227" i="3"/>
  <c r="U227" i="3" l="1"/>
  <c r="V227" i="3" s="1"/>
  <c r="T228" i="3"/>
  <c r="T229" i="3" l="1"/>
  <c r="U228" i="3"/>
  <c r="V228" i="3" s="1"/>
  <c r="U229" i="3" l="1"/>
  <c r="V229" i="3" s="1"/>
  <c r="T230" i="3"/>
  <c r="U230" i="3" l="1"/>
  <c r="V230" i="3" s="1"/>
  <c r="T231" i="3"/>
  <c r="T232" i="3" l="1"/>
  <c r="U231" i="3"/>
  <c r="V231" i="3" s="1"/>
  <c r="T233" i="3" l="1"/>
  <c r="U232" i="3"/>
  <c r="V232" i="3" s="1"/>
  <c r="T234" i="3" l="1"/>
  <c r="U233" i="3"/>
  <c r="V233" i="3" s="1"/>
  <c r="U234" i="3" l="1"/>
  <c r="V234" i="3" s="1"/>
  <c r="T235" i="3"/>
  <c r="T236" i="3" l="1"/>
  <c r="U235" i="3"/>
  <c r="V235" i="3" s="1"/>
  <c r="T237" i="3" l="1"/>
  <c r="U236" i="3"/>
  <c r="V236" i="3" s="1"/>
  <c r="U237" i="3" l="1"/>
  <c r="V237" i="3" s="1"/>
  <c r="T238" i="3"/>
  <c r="T239" i="3" l="1"/>
  <c r="U238" i="3"/>
  <c r="V238" i="3" s="1"/>
  <c r="T240" i="3" l="1"/>
  <c r="U239" i="3"/>
  <c r="V239" i="3" s="1"/>
  <c r="U240" i="3" l="1"/>
  <c r="V240" i="3" s="1"/>
  <c r="T241" i="3"/>
  <c r="T242" i="3" l="1"/>
  <c r="U241" i="3"/>
  <c r="V241" i="3" s="1"/>
  <c r="U242" i="3" l="1"/>
  <c r="V242" i="3" s="1"/>
  <c r="T243" i="3"/>
  <c r="U243" i="3" l="1"/>
  <c r="V243" i="3" s="1"/>
  <c r="T244" i="3"/>
  <c r="U244" i="3" l="1"/>
  <c r="V244" i="3" s="1"/>
  <c r="T245" i="3"/>
  <c r="U245" i="3" l="1"/>
  <c r="V245" i="3" s="1"/>
  <c r="T246" i="3"/>
  <c r="U246" i="3" l="1"/>
  <c r="V246" i="3" s="1"/>
  <c r="T247" i="3"/>
  <c r="U247" i="3" l="1"/>
  <c r="V247" i="3" s="1"/>
  <c r="T248" i="3"/>
  <c r="T249" i="3" l="1"/>
  <c r="U248" i="3"/>
  <c r="V248" i="3" s="1"/>
  <c r="U249" i="3" l="1"/>
  <c r="V249" i="3" s="1"/>
  <c r="T250" i="3"/>
  <c r="U250" i="3" l="1"/>
  <c r="V250" i="3" s="1"/>
  <c r="T251" i="3"/>
  <c r="T252" i="3" l="1"/>
  <c r="U251" i="3"/>
  <c r="V251" i="3" s="1"/>
  <c r="U252" i="3" l="1"/>
  <c r="V252" i="3" s="1"/>
  <c r="T253" i="3"/>
  <c r="T254" i="3" l="1"/>
  <c r="U253" i="3"/>
  <c r="V253" i="3" s="1"/>
  <c r="T255" i="3" l="1"/>
  <c r="U254" i="3"/>
  <c r="V254" i="3" s="1"/>
  <c r="U255" i="3" l="1"/>
  <c r="V255" i="3" s="1"/>
  <c r="T256" i="3"/>
  <c r="T257" i="3" l="1"/>
  <c r="U256" i="3"/>
  <c r="V256" i="3" s="1"/>
  <c r="T258" i="3" l="1"/>
  <c r="U257" i="3"/>
  <c r="V257" i="3" s="1"/>
  <c r="U258" i="3" l="1"/>
  <c r="V258" i="3" s="1"/>
  <c r="T259" i="3"/>
  <c r="U259" i="3" l="1"/>
  <c r="V259" i="3" s="1"/>
  <c r="T260" i="3"/>
  <c r="T261" i="3" l="1"/>
  <c r="U260" i="3"/>
  <c r="V260" i="3" s="1"/>
  <c r="T262" i="3" l="1"/>
  <c r="U261" i="3"/>
  <c r="V261" i="3" s="1"/>
  <c r="T263" i="3" l="1"/>
  <c r="U262" i="3"/>
  <c r="V262" i="3" s="1"/>
  <c r="U263" i="3" l="1"/>
  <c r="V263" i="3" s="1"/>
  <c r="T264" i="3"/>
  <c r="U264" i="3" l="1"/>
  <c r="V264" i="3" s="1"/>
  <c r="T265" i="3"/>
  <c r="T266" i="3" l="1"/>
  <c r="U265" i="3"/>
  <c r="V265" i="3" s="1"/>
  <c r="U266" i="3" l="1"/>
  <c r="V266" i="3" s="1"/>
  <c r="T267" i="3"/>
  <c r="U267" i="3" l="1"/>
  <c r="V267" i="3" s="1"/>
  <c r="W218" i="3"/>
  <c r="W219" i="3" l="1"/>
  <c r="X218" i="3"/>
  <c r="Y218" i="3" s="1"/>
  <c r="W220" i="3" l="1"/>
  <c r="X219" i="3"/>
  <c r="Y219" i="3" s="1"/>
  <c r="W221" i="3" l="1"/>
  <c r="X220" i="3"/>
  <c r="Y220" i="3" s="1"/>
  <c r="W222" i="3" l="1"/>
  <c r="X221" i="3"/>
  <c r="Y221" i="3" s="1"/>
  <c r="X222" i="3" l="1"/>
  <c r="Y222" i="3" s="1"/>
  <c r="W223" i="3"/>
  <c r="W224" i="3" l="1"/>
  <c r="X223" i="3"/>
  <c r="Y223" i="3" s="1"/>
  <c r="X224" i="3" l="1"/>
  <c r="Y224" i="3" s="1"/>
  <c r="W225" i="3"/>
  <c r="X225" i="3" l="1"/>
  <c r="Y225" i="3" s="1"/>
  <c r="W226" i="3"/>
  <c r="X226" i="3" l="1"/>
  <c r="Y226" i="3" s="1"/>
  <c r="W227" i="3"/>
  <c r="X227" i="3" l="1"/>
  <c r="Y227" i="3" s="1"/>
  <c r="W228" i="3"/>
  <c r="W229" i="3" l="1"/>
  <c r="X228" i="3"/>
  <c r="Y228" i="3" s="1"/>
  <c r="W230" i="3" l="1"/>
  <c r="X229" i="3"/>
  <c r="Y229" i="3" s="1"/>
  <c r="X230" i="3" l="1"/>
  <c r="Y230" i="3" s="1"/>
  <c r="W231" i="3"/>
  <c r="W232" i="3" l="1"/>
  <c r="X231" i="3"/>
  <c r="Y231" i="3" s="1"/>
  <c r="W233" i="3" l="1"/>
  <c r="X232" i="3"/>
  <c r="Y232" i="3" s="1"/>
  <c r="W234" i="3" l="1"/>
  <c r="X233" i="3"/>
  <c r="Y233" i="3" s="1"/>
  <c r="W235" i="3" l="1"/>
  <c r="X234" i="3"/>
  <c r="Y234" i="3" s="1"/>
  <c r="W236" i="3" l="1"/>
  <c r="X235" i="3"/>
  <c r="Y235" i="3" s="1"/>
  <c r="W237" i="3" l="1"/>
  <c r="X236" i="3"/>
  <c r="Y236" i="3" s="1"/>
  <c r="W238" i="3" l="1"/>
  <c r="X237" i="3"/>
  <c r="Y237" i="3" s="1"/>
  <c r="W239" i="3" l="1"/>
  <c r="X238" i="3"/>
  <c r="Y238" i="3" s="1"/>
  <c r="W240" i="3" l="1"/>
  <c r="X239" i="3"/>
  <c r="Y239" i="3" s="1"/>
  <c r="W241" i="3" l="1"/>
  <c r="X240" i="3"/>
  <c r="Y240" i="3" s="1"/>
  <c r="W242" i="3" l="1"/>
  <c r="X241" i="3"/>
  <c r="Y241" i="3" s="1"/>
  <c r="W243" i="3" l="1"/>
  <c r="X242" i="3"/>
  <c r="Y242" i="3" s="1"/>
  <c r="W244" i="3" l="1"/>
  <c r="X243" i="3"/>
  <c r="Y243" i="3" s="1"/>
  <c r="W245" i="3" l="1"/>
  <c r="X244" i="3"/>
  <c r="Y244" i="3" s="1"/>
  <c r="W246" i="3" l="1"/>
  <c r="X245" i="3"/>
  <c r="Y245" i="3" s="1"/>
  <c r="W247" i="3" l="1"/>
  <c r="X246" i="3"/>
  <c r="Y246" i="3" s="1"/>
  <c r="W248" i="3" l="1"/>
  <c r="X247" i="3"/>
  <c r="Y247" i="3" s="1"/>
  <c r="W249" i="3" l="1"/>
  <c r="X248" i="3"/>
  <c r="Y248" i="3" s="1"/>
  <c r="W250" i="3" l="1"/>
  <c r="X249" i="3"/>
  <c r="Y249" i="3" s="1"/>
  <c r="W251" i="3" l="1"/>
  <c r="X250" i="3"/>
  <c r="Y250" i="3" s="1"/>
  <c r="W252" i="3" l="1"/>
  <c r="X251" i="3"/>
  <c r="Y251" i="3" s="1"/>
  <c r="W253" i="3" l="1"/>
  <c r="X252" i="3"/>
  <c r="Y252" i="3" s="1"/>
  <c r="W254" i="3" l="1"/>
  <c r="X253" i="3"/>
  <c r="Y253" i="3" s="1"/>
  <c r="W255" i="3" l="1"/>
  <c r="X254" i="3"/>
  <c r="Y254" i="3" s="1"/>
  <c r="W256" i="3" l="1"/>
  <c r="X255" i="3"/>
  <c r="Y255" i="3" s="1"/>
  <c r="W257" i="3" l="1"/>
  <c r="X256" i="3"/>
  <c r="Y256" i="3" s="1"/>
  <c r="W258" i="3" l="1"/>
  <c r="X257" i="3"/>
  <c r="Y257" i="3" s="1"/>
  <c r="W259" i="3" l="1"/>
  <c r="X258" i="3"/>
  <c r="Y258" i="3" s="1"/>
  <c r="W260" i="3" l="1"/>
  <c r="X259" i="3"/>
  <c r="Y259" i="3" s="1"/>
  <c r="W261" i="3" l="1"/>
  <c r="X260" i="3"/>
  <c r="Y260" i="3" s="1"/>
  <c r="W262" i="3" l="1"/>
  <c r="X261" i="3"/>
  <c r="Y261" i="3" s="1"/>
  <c r="W263" i="3" l="1"/>
  <c r="X262" i="3"/>
  <c r="Y262" i="3" s="1"/>
  <c r="W264" i="3" l="1"/>
  <c r="X263" i="3"/>
  <c r="Y263" i="3" s="1"/>
  <c r="W265" i="3" l="1"/>
  <c r="X264" i="3"/>
  <c r="Y264" i="3" s="1"/>
  <c r="W266" i="3" l="1"/>
  <c r="X265" i="3"/>
  <c r="Y265" i="3" s="1"/>
  <c r="W267" i="3" l="1"/>
  <c r="X266" i="3"/>
  <c r="Y266" i="3" s="1"/>
  <c r="X267" i="3" l="1"/>
  <c r="Y267" i="3" s="1"/>
  <c r="N268" i="3"/>
  <c r="O268" i="3" l="1"/>
  <c r="P268" i="3" s="1"/>
  <c r="N269" i="3"/>
  <c r="O269" i="3" l="1"/>
  <c r="P269" i="3" s="1"/>
  <c r="N270" i="3"/>
  <c r="O270" i="3" l="1"/>
  <c r="P270" i="3" s="1"/>
  <c r="N271" i="3"/>
  <c r="N272" i="3" l="1"/>
  <c r="O271" i="3"/>
  <c r="P271" i="3" s="1"/>
  <c r="N273" i="3" l="1"/>
  <c r="O272" i="3"/>
  <c r="P272" i="3" s="1"/>
  <c r="O273" i="3" l="1"/>
  <c r="P273" i="3" s="1"/>
  <c r="N274" i="3"/>
  <c r="O274" i="3" l="1"/>
  <c r="P274" i="3" s="1"/>
  <c r="N275" i="3"/>
  <c r="N276" i="3" l="1"/>
  <c r="O275" i="3"/>
  <c r="P275" i="3" s="1"/>
  <c r="N277" i="3" l="1"/>
  <c r="O276" i="3"/>
  <c r="P276" i="3" s="1"/>
  <c r="N278" i="3" l="1"/>
  <c r="O277" i="3"/>
  <c r="P277" i="3" s="1"/>
  <c r="N279" i="3" l="1"/>
  <c r="O278" i="3"/>
  <c r="P278" i="3" s="1"/>
  <c r="O279" i="3" l="1"/>
  <c r="P279" i="3" s="1"/>
  <c r="N280" i="3"/>
  <c r="O280" i="3" l="1"/>
  <c r="P280" i="3" s="1"/>
  <c r="N281" i="3"/>
  <c r="N282" i="3" l="1"/>
  <c r="O281" i="3"/>
  <c r="P281" i="3" s="1"/>
  <c r="O282" i="3" l="1"/>
  <c r="P282" i="3" s="1"/>
  <c r="N283" i="3"/>
  <c r="N284" i="3" l="1"/>
  <c r="O283" i="3"/>
  <c r="P283" i="3" s="1"/>
  <c r="N285" i="3" l="1"/>
  <c r="O284" i="3"/>
  <c r="P284" i="3" s="1"/>
  <c r="O285" i="3" l="1"/>
  <c r="P285" i="3" s="1"/>
  <c r="N286" i="3"/>
  <c r="O286" i="3" l="1"/>
  <c r="P286" i="3" s="1"/>
  <c r="N287" i="3"/>
  <c r="O287" i="3" l="1"/>
  <c r="P287" i="3" s="1"/>
  <c r="N288" i="3"/>
  <c r="N289" i="3" l="1"/>
  <c r="O288" i="3"/>
  <c r="P288" i="3" s="1"/>
  <c r="O289" i="3" l="1"/>
  <c r="P289" i="3" s="1"/>
  <c r="N290" i="3"/>
  <c r="N291" i="3" l="1"/>
  <c r="O290" i="3"/>
  <c r="P290" i="3" s="1"/>
  <c r="N292" i="3" l="1"/>
  <c r="O291" i="3"/>
  <c r="P291" i="3" s="1"/>
  <c r="O292" i="3" l="1"/>
  <c r="P292" i="3" s="1"/>
  <c r="N293" i="3"/>
  <c r="O293" i="3" l="1"/>
  <c r="P293" i="3" s="1"/>
  <c r="N294" i="3"/>
  <c r="O294" i="3" l="1"/>
  <c r="P294" i="3" s="1"/>
  <c r="N295" i="3"/>
  <c r="N296" i="3" l="1"/>
  <c r="O295" i="3"/>
  <c r="P295" i="3" s="1"/>
  <c r="O296" i="3" l="1"/>
  <c r="P296" i="3" s="1"/>
  <c r="N297" i="3"/>
  <c r="O297" i="3" l="1"/>
  <c r="P297" i="3" s="1"/>
  <c r="N298" i="3"/>
  <c r="O298" i="3" l="1"/>
  <c r="P298" i="3" s="1"/>
  <c r="N299" i="3"/>
  <c r="O299" i="3" l="1"/>
  <c r="P299" i="3" s="1"/>
  <c r="N300" i="3"/>
  <c r="N301" i="3" l="1"/>
  <c r="O300" i="3"/>
  <c r="P300" i="3" s="1"/>
  <c r="O301" i="3" l="1"/>
  <c r="P301" i="3" s="1"/>
  <c r="N302" i="3"/>
  <c r="N303" i="3" l="1"/>
  <c r="O302" i="3"/>
  <c r="P302" i="3" s="1"/>
  <c r="O303" i="3" l="1"/>
  <c r="P303" i="3" s="1"/>
  <c r="N304" i="3"/>
  <c r="N305" i="3" l="1"/>
  <c r="O304" i="3"/>
  <c r="P304" i="3" s="1"/>
  <c r="N306" i="3" l="1"/>
  <c r="O305" i="3"/>
  <c r="P305" i="3" s="1"/>
  <c r="O306" i="3" l="1"/>
  <c r="P306" i="3" s="1"/>
  <c r="N307" i="3"/>
  <c r="O307" i="3" l="1"/>
  <c r="P307" i="3" s="1"/>
  <c r="N308" i="3"/>
  <c r="O308" i="3" l="1"/>
  <c r="P308" i="3" s="1"/>
  <c r="N309" i="3"/>
  <c r="O309" i="3" l="1"/>
  <c r="P309" i="3" s="1"/>
  <c r="N310" i="3"/>
  <c r="N311" i="3" l="1"/>
  <c r="O310" i="3"/>
  <c r="P310" i="3" s="1"/>
  <c r="O311" i="3" l="1"/>
  <c r="P311" i="3" s="1"/>
  <c r="N312" i="3"/>
  <c r="N313" i="3" l="1"/>
  <c r="O312" i="3"/>
  <c r="P312" i="3" s="1"/>
  <c r="O313" i="3" l="1"/>
  <c r="P313" i="3" s="1"/>
  <c r="N314" i="3"/>
  <c r="N315" i="3" l="1"/>
  <c r="O314" i="3"/>
  <c r="P314" i="3" s="1"/>
  <c r="O315" i="3" l="1"/>
  <c r="P315" i="3" s="1"/>
  <c r="N316" i="3"/>
  <c r="N317" i="3" l="1"/>
  <c r="O316" i="3"/>
  <c r="P316" i="3" s="1"/>
  <c r="Q268" i="3" l="1"/>
  <c r="O317" i="3"/>
  <c r="P317" i="3" s="1"/>
  <c r="R268" i="3" l="1"/>
  <c r="S268" i="3" s="1"/>
  <c r="Q269" i="3"/>
  <c r="R269" i="3" l="1"/>
  <c r="S269" i="3" s="1"/>
  <c r="Q270" i="3"/>
  <c r="Q271" i="3" l="1"/>
  <c r="R270" i="3"/>
  <c r="S270" i="3" s="1"/>
  <c r="R271" i="3" l="1"/>
  <c r="S271" i="3" s="1"/>
  <c r="Q272" i="3"/>
  <c r="Q273" i="3" l="1"/>
  <c r="R272" i="3"/>
  <c r="S272" i="3" s="1"/>
  <c r="Q274" i="3" l="1"/>
  <c r="R273" i="3"/>
  <c r="S273" i="3" s="1"/>
  <c r="Q275" i="3" l="1"/>
  <c r="R274" i="3"/>
  <c r="S274" i="3" s="1"/>
  <c r="R275" i="3" l="1"/>
  <c r="S275" i="3" s="1"/>
  <c r="Q276" i="3"/>
  <c r="R276" i="3" l="1"/>
  <c r="S276" i="3" s="1"/>
  <c r="Q277" i="3"/>
  <c r="R277" i="3" l="1"/>
  <c r="S277" i="3" s="1"/>
  <c r="Q278" i="3"/>
  <c r="R278" i="3" l="1"/>
  <c r="S278" i="3" s="1"/>
  <c r="Q279" i="3"/>
  <c r="Q280" i="3" l="1"/>
  <c r="R279" i="3"/>
  <c r="S279" i="3" s="1"/>
  <c r="Q281" i="3" l="1"/>
  <c r="R280" i="3"/>
  <c r="S280" i="3" s="1"/>
  <c r="R281" i="3" l="1"/>
  <c r="S281" i="3" s="1"/>
  <c r="Q282" i="3"/>
  <c r="R282" i="3" l="1"/>
  <c r="S282" i="3" s="1"/>
  <c r="Q283" i="3"/>
  <c r="R283" i="3" l="1"/>
  <c r="S283" i="3" s="1"/>
  <c r="Q284" i="3"/>
  <c r="R284" i="3" l="1"/>
  <c r="S284" i="3" s="1"/>
  <c r="Q285" i="3"/>
  <c r="Q286" i="3" l="1"/>
  <c r="R285" i="3"/>
  <c r="S285" i="3" s="1"/>
  <c r="Q287" i="3" l="1"/>
  <c r="R286" i="3"/>
  <c r="S286" i="3" s="1"/>
  <c r="R287" i="3" l="1"/>
  <c r="S287" i="3" s="1"/>
  <c r="Q288" i="3"/>
  <c r="R288" i="3" l="1"/>
  <c r="S288" i="3" s="1"/>
  <c r="Q289" i="3"/>
  <c r="Q290" i="3" l="1"/>
  <c r="R289" i="3"/>
  <c r="S289" i="3" s="1"/>
  <c r="Q291" i="3" l="1"/>
  <c r="R290" i="3"/>
  <c r="S290" i="3" s="1"/>
  <c r="Q292" i="3" l="1"/>
  <c r="R291" i="3"/>
  <c r="S291" i="3" s="1"/>
  <c r="Q293" i="3" l="1"/>
  <c r="R292" i="3"/>
  <c r="S292" i="3" s="1"/>
  <c r="R293" i="3" l="1"/>
  <c r="S293" i="3" s="1"/>
  <c r="Q294" i="3"/>
  <c r="R294" i="3" l="1"/>
  <c r="S294" i="3" s="1"/>
  <c r="Q295" i="3"/>
  <c r="Q296" i="3" l="1"/>
  <c r="R295" i="3"/>
  <c r="S295" i="3" s="1"/>
  <c r="Q297" i="3" l="1"/>
  <c r="R296" i="3"/>
  <c r="S296" i="3" s="1"/>
  <c r="R297" i="3" l="1"/>
  <c r="S297" i="3" s="1"/>
  <c r="Q298" i="3"/>
  <c r="Q299" i="3" l="1"/>
  <c r="R298" i="3"/>
  <c r="S298" i="3" s="1"/>
  <c r="R299" i="3" l="1"/>
  <c r="S299" i="3" s="1"/>
  <c r="Q300" i="3"/>
  <c r="R300" i="3" l="1"/>
  <c r="S300" i="3" s="1"/>
  <c r="Q301" i="3"/>
  <c r="R301" i="3" l="1"/>
  <c r="S301" i="3" s="1"/>
  <c r="Q302" i="3"/>
  <c r="Q303" i="3" l="1"/>
  <c r="R302" i="3"/>
  <c r="S302" i="3" s="1"/>
  <c r="Q304" i="3" l="1"/>
  <c r="R303" i="3"/>
  <c r="S303" i="3" s="1"/>
  <c r="R304" i="3" l="1"/>
  <c r="S304" i="3" s="1"/>
  <c r="Q305" i="3"/>
  <c r="Q306" i="3" l="1"/>
  <c r="R305" i="3"/>
  <c r="S305" i="3" s="1"/>
  <c r="R306" i="3" l="1"/>
  <c r="S306" i="3" s="1"/>
  <c r="Q307" i="3"/>
  <c r="Q308" i="3" l="1"/>
  <c r="R307" i="3"/>
  <c r="S307" i="3" s="1"/>
  <c r="Q309" i="3" l="1"/>
  <c r="R308" i="3"/>
  <c r="S308" i="3" s="1"/>
  <c r="R309" i="3" l="1"/>
  <c r="S309" i="3" s="1"/>
  <c r="Q310" i="3"/>
  <c r="R310" i="3" l="1"/>
  <c r="S310" i="3" s="1"/>
  <c r="Q311" i="3"/>
  <c r="R311" i="3" l="1"/>
  <c r="S311" i="3" s="1"/>
  <c r="Q312" i="3"/>
  <c r="R312" i="3" l="1"/>
  <c r="S312" i="3" s="1"/>
  <c r="Q313" i="3"/>
  <c r="Q314" i="3" l="1"/>
  <c r="R313" i="3"/>
  <c r="S313" i="3" s="1"/>
  <c r="Q315" i="3" l="1"/>
  <c r="R314" i="3"/>
  <c r="S314" i="3" s="1"/>
  <c r="Q316" i="3" l="1"/>
  <c r="R315" i="3"/>
  <c r="S315" i="3" s="1"/>
  <c r="R316" i="3" l="1"/>
  <c r="S316" i="3" s="1"/>
  <c r="Q317" i="3"/>
  <c r="R317" i="3" l="1"/>
  <c r="S317" i="3" s="1"/>
  <c r="T268" i="3"/>
  <c r="T269" i="3" l="1"/>
  <c r="U268" i="3"/>
  <c r="V268" i="3" s="1"/>
  <c r="T270" i="3" l="1"/>
  <c r="U269" i="3"/>
  <c r="V269" i="3" s="1"/>
  <c r="U270" i="3" l="1"/>
  <c r="V270" i="3" s="1"/>
  <c r="T271" i="3"/>
  <c r="U271" i="3" l="1"/>
  <c r="V271" i="3" s="1"/>
  <c r="T272" i="3"/>
  <c r="U272" i="3" l="1"/>
  <c r="V272" i="3" s="1"/>
  <c r="T273" i="3"/>
  <c r="U273" i="3" l="1"/>
  <c r="V273" i="3" s="1"/>
  <c r="T274" i="3"/>
  <c r="T275" i="3" l="1"/>
  <c r="U274" i="3"/>
  <c r="V274" i="3" s="1"/>
  <c r="T276" i="3" l="1"/>
  <c r="U275" i="3"/>
  <c r="V275" i="3" s="1"/>
  <c r="U276" i="3" l="1"/>
  <c r="V276" i="3" s="1"/>
  <c r="T277" i="3"/>
  <c r="T278" i="3" l="1"/>
  <c r="U277" i="3"/>
  <c r="V277" i="3" s="1"/>
  <c r="T279" i="3" l="1"/>
  <c r="U278" i="3"/>
  <c r="V278" i="3" s="1"/>
  <c r="U279" i="3" l="1"/>
  <c r="V279" i="3" s="1"/>
  <c r="T280" i="3"/>
  <c r="T281" i="3" l="1"/>
  <c r="U280" i="3"/>
  <c r="V280" i="3" s="1"/>
  <c r="T282" i="3" l="1"/>
  <c r="U281" i="3"/>
  <c r="V281" i="3" s="1"/>
  <c r="U282" i="3" l="1"/>
  <c r="V282" i="3" s="1"/>
  <c r="T283" i="3"/>
  <c r="U283" i="3" l="1"/>
  <c r="V283" i="3" s="1"/>
  <c r="T284" i="3"/>
  <c r="T285" i="3" l="1"/>
  <c r="U284" i="3"/>
  <c r="V284" i="3" s="1"/>
  <c r="T286" i="3" l="1"/>
  <c r="U285" i="3"/>
  <c r="V285" i="3" s="1"/>
  <c r="U286" i="3" l="1"/>
  <c r="V286" i="3" s="1"/>
  <c r="T287" i="3"/>
  <c r="T288" i="3" l="1"/>
  <c r="U287" i="3"/>
  <c r="V287" i="3" s="1"/>
  <c r="U288" i="3" l="1"/>
  <c r="V288" i="3" s="1"/>
  <c r="T289" i="3"/>
  <c r="T290" i="3" l="1"/>
  <c r="U289" i="3"/>
  <c r="V289" i="3" s="1"/>
  <c r="T291" i="3" l="1"/>
  <c r="U290" i="3"/>
  <c r="V290" i="3" s="1"/>
  <c r="U291" i="3" l="1"/>
  <c r="V291" i="3" s="1"/>
  <c r="T292" i="3"/>
  <c r="U292" i="3" l="1"/>
  <c r="V292" i="3" s="1"/>
  <c r="T293" i="3"/>
  <c r="T294" i="3" l="1"/>
  <c r="U293" i="3"/>
  <c r="V293" i="3" s="1"/>
  <c r="T295" i="3" l="1"/>
  <c r="U294" i="3"/>
  <c r="V294" i="3" s="1"/>
  <c r="U295" i="3" l="1"/>
  <c r="V295" i="3" s="1"/>
  <c r="T296" i="3"/>
  <c r="U296" i="3" l="1"/>
  <c r="V296" i="3" s="1"/>
  <c r="T297" i="3"/>
  <c r="U297" i="3" l="1"/>
  <c r="V297" i="3" s="1"/>
  <c r="T298" i="3"/>
  <c r="U298" i="3" l="1"/>
  <c r="V298" i="3" s="1"/>
  <c r="T299" i="3"/>
  <c r="T300" i="3" l="1"/>
  <c r="U299" i="3"/>
  <c r="V299" i="3" s="1"/>
  <c r="T301" i="3" l="1"/>
  <c r="U300" i="3"/>
  <c r="V300" i="3" s="1"/>
  <c r="T302" i="3" l="1"/>
  <c r="U301" i="3"/>
  <c r="V301" i="3" s="1"/>
  <c r="U302" i="3" l="1"/>
  <c r="V302" i="3" s="1"/>
  <c r="T303" i="3"/>
  <c r="U303" i="3" l="1"/>
  <c r="V303" i="3" s="1"/>
  <c r="T304" i="3"/>
  <c r="U304" i="3" l="1"/>
  <c r="V304" i="3" s="1"/>
  <c r="T305" i="3"/>
  <c r="T306" i="3" l="1"/>
  <c r="U305" i="3"/>
  <c r="V305" i="3" s="1"/>
  <c r="U306" i="3" l="1"/>
  <c r="V306" i="3" s="1"/>
  <c r="T307" i="3"/>
  <c r="U307" i="3" l="1"/>
  <c r="V307" i="3" s="1"/>
  <c r="T308" i="3"/>
  <c r="T309" i="3" l="1"/>
  <c r="U308" i="3"/>
  <c r="V308" i="3" s="1"/>
  <c r="U309" i="3" l="1"/>
  <c r="V309" i="3" s="1"/>
  <c r="T310" i="3"/>
  <c r="T311" i="3" l="1"/>
  <c r="U310" i="3"/>
  <c r="V310" i="3" s="1"/>
  <c r="T312" i="3" l="1"/>
  <c r="U311" i="3"/>
  <c r="V311" i="3" s="1"/>
  <c r="U312" i="3" l="1"/>
  <c r="V312" i="3" s="1"/>
  <c r="T313" i="3"/>
  <c r="U313" i="3" l="1"/>
  <c r="V313" i="3" s="1"/>
  <c r="T314" i="3"/>
  <c r="U314" i="3" l="1"/>
  <c r="V314" i="3" s="1"/>
  <c r="T315" i="3"/>
  <c r="U315" i="3" l="1"/>
  <c r="V315" i="3" s="1"/>
  <c r="T316" i="3"/>
  <c r="T317" i="3" l="1"/>
  <c r="U316" i="3"/>
  <c r="V316" i="3" s="1"/>
  <c r="W268" i="3" l="1"/>
  <c r="U317" i="3"/>
  <c r="V317" i="3" s="1"/>
  <c r="W269" i="3" l="1"/>
  <c r="X268" i="3"/>
  <c r="Y268" i="3" s="1"/>
  <c r="W270" i="3" l="1"/>
  <c r="X269" i="3"/>
  <c r="Y269" i="3" s="1"/>
  <c r="W271" i="3" l="1"/>
  <c r="X270" i="3"/>
  <c r="Y270" i="3" s="1"/>
  <c r="W272" i="3" l="1"/>
  <c r="X271" i="3"/>
  <c r="Y271" i="3" s="1"/>
  <c r="W273" i="3" l="1"/>
  <c r="X272" i="3"/>
  <c r="Y272" i="3" s="1"/>
  <c r="W274" i="3" l="1"/>
  <c r="X273" i="3"/>
  <c r="Y273" i="3" s="1"/>
  <c r="W275" i="3" l="1"/>
  <c r="X274" i="3"/>
  <c r="Y274" i="3" s="1"/>
  <c r="W276" i="3" l="1"/>
  <c r="X275" i="3"/>
  <c r="Y275" i="3" s="1"/>
  <c r="W277" i="3" l="1"/>
  <c r="X276" i="3"/>
  <c r="Y276" i="3" s="1"/>
  <c r="W278" i="3" l="1"/>
  <c r="X277" i="3"/>
  <c r="Y277" i="3" s="1"/>
  <c r="W279" i="3" l="1"/>
  <c r="X278" i="3"/>
  <c r="Y278" i="3" s="1"/>
  <c r="W280" i="3" l="1"/>
  <c r="X279" i="3"/>
  <c r="Y279" i="3" s="1"/>
  <c r="W281" i="3" l="1"/>
  <c r="X280" i="3"/>
  <c r="Y280" i="3" s="1"/>
  <c r="W282" i="3" l="1"/>
  <c r="X281" i="3"/>
  <c r="Y281" i="3" s="1"/>
  <c r="W283" i="3" l="1"/>
  <c r="X282" i="3"/>
  <c r="Y282" i="3" s="1"/>
  <c r="W284" i="3" l="1"/>
  <c r="X283" i="3"/>
  <c r="Y283" i="3" s="1"/>
  <c r="W285" i="3" l="1"/>
  <c r="X284" i="3"/>
  <c r="Y284" i="3" s="1"/>
  <c r="W286" i="3" l="1"/>
  <c r="X285" i="3"/>
  <c r="Y285" i="3" s="1"/>
  <c r="W287" i="3" l="1"/>
  <c r="X286" i="3"/>
  <c r="Y286" i="3" s="1"/>
  <c r="W288" i="3" l="1"/>
  <c r="X287" i="3"/>
  <c r="Y287" i="3" s="1"/>
  <c r="W289" i="3" l="1"/>
  <c r="X288" i="3"/>
  <c r="Y288" i="3" s="1"/>
  <c r="W290" i="3" l="1"/>
  <c r="X289" i="3"/>
  <c r="Y289" i="3" s="1"/>
  <c r="W291" i="3" l="1"/>
  <c r="X290" i="3"/>
  <c r="Y290" i="3" s="1"/>
  <c r="W292" i="3" l="1"/>
  <c r="X291" i="3"/>
  <c r="Y291" i="3" s="1"/>
  <c r="W293" i="3" l="1"/>
  <c r="X292" i="3"/>
  <c r="Y292" i="3" s="1"/>
  <c r="W294" i="3" l="1"/>
  <c r="X293" i="3"/>
  <c r="Y293" i="3" s="1"/>
  <c r="W295" i="3" l="1"/>
  <c r="X294" i="3"/>
  <c r="Y294" i="3" s="1"/>
  <c r="W296" i="3" l="1"/>
  <c r="X295" i="3"/>
  <c r="Y295" i="3" s="1"/>
  <c r="W297" i="3" l="1"/>
  <c r="X296" i="3"/>
  <c r="Y296" i="3" s="1"/>
  <c r="W298" i="3" l="1"/>
  <c r="X297" i="3"/>
  <c r="Y297" i="3" s="1"/>
  <c r="W299" i="3" l="1"/>
  <c r="X298" i="3"/>
  <c r="Y298" i="3" s="1"/>
  <c r="W300" i="3" l="1"/>
  <c r="X299" i="3"/>
  <c r="Y299" i="3" s="1"/>
  <c r="W301" i="3" l="1"/>
  <c r="X300" i="3"/>
  <c r="Y300" i="3" s="1"/>
  <c r="W302" i="3" l="1"/>
  <c r="X301" i="3"/>
  <c r="Y301" i="3" s="1"/>
  <c r="W303" i="3" l="1"/>
  <c r="X302" i="3"/>
  <c r="Y302" i="3" s="1"/>
  <c r="W304" i="3" l="1"/>
  <c r="X303" i="3"/>
  <c r="Y303" i="3" s="1"/>
  <c r="W305" i="3" l="1"/>
  <c r="X304" i="3"/>
  <c r="Y304" i="3" s="1"/>
  <c r="W306" i="3" l="1"/>
  <c r="X305" i="3"/>
  <c r="Y305" i="3" s="1"/>
  <c r="W307" i="3" l="1"/>
  <c r="X306" i="3"/>
  <c r="Y306" i="3" s="1"/>
  <c r="W308" i="3" l="1"/>
  <c r="X307" i="3"/>
  <c r="Y307" i="3" s="1"/>
  <c r="W309" i="3" l="1"/>
  <c r="X308" i="3"/>
  <c r="Y308" i="3" s="1"/>
  <c r="W310" i="3" l="1"/>
  <c r="X309" i="3"/>
  <c r="Y309" i="3" s="1"/>
  <c r="W311" i="3" l="1"/>
  <c r="X310" i="3"/>
  <c r="Y310" i="3" s="1"/>
  <c r="W312" i="3" l="1"/>
  <c r="X311" i="3"/>
  <c r="Y311" i="3" s="1"/>
  <c r="W313" i="3" l="1"/>
  <c r="X312" i="3"/>
  <c r="Y312" i="3" s="1"/>
  <c r="W314" i="3" l="1"/>
  <c r="X313" i="3"/>
  <c r="Y313" i="3" s="1"/>
  <c r="W315" i="3" l="1"/>
  <c r="X314" i="3"/>
  <c r="Y314" i="3" s="1"/>
  <c r="W316" i="3" l="1"/>
  <c r="X315" i="3"/>
  <c r="Y315" i="3" s="1"/>
  <c r="W317" i="3" l="1"/>
  <c r="X316" i="3"/>
  <c r="Y316" i="3" s="1"/>
  <c r="N318" i="3" l="1"/>
  <c r="X317" i="3"/>
  <c r="Y317" i="3" s="1"/>
  <c r="O318" i="3" l="1"/>
  <c r="P318" i="3" s="1"/>
  <c r="N319" i="3"/>
  <c r="O319" i="3" l="1"/>
  <c r="P319" i="3" s="1"/>
  <c r="N320" i="3"/>
  <c r="O320" i="3" l="1"/>
  <c r="P320" i="3" s="1"/>
  <c r="N321" i="3"/>
  <c r="O321" i="3" l="1"/>
  <c r="P321" i="3" s="1"/>
  <c r="N322" i="3"/>
  <c r="O322" i="3" l="1"/>
  <c r="P322" i="3" s="1"/>
  <c r="N323" i="3"/>
  <c r="N324" i="3" l="1"/>
  <c r="O323" i="3"/>
  <c r="P323" i="3" s="1"/>
  <c r="N325" i="3" l="1"/>
  <c r="O324" i="3"/>
  <c r="P324" i="3" s="1"/>
  <c r="O325" i="3" l="1"/>
  <c r="P325" i="3" s="1"/>
  <c r="N326" i="3"/>
  <c r="N327" i="3" l="1"/>
  <c r="O326" i="3"/>
  <c r="P326" i="3" s="1"/>
  <c r="O327" i="3" l="1"/>
  <c r="P327" i="3" s="1"/>
  <c r="N328" i="3"/>
  <c r="N329" i="3" l="1"/>
  <c r="O328" i="3"/>
  <c r="P328" i="3" s="1"/>
  <c r="N330" i="3" l="1"/>
  <c r="O329" i="3"/>
  <c r="P329" i="3" s="1"/>
  <c r="O330" i="3" l="1"/>
  <c r="P330" i="3" s="1"/>
  <c r="N331" i="3"/>
  <c r="O331" i="3" l="1"/>
  <c r="P331" i="3" s="1"/>
  <c r="N332" i="3"/>
  <c r="O332" i="3" l="1"/>
  <c r="P332" i="3" s="1"/>
  <c r="N333" i="3"/>
  <c r="O333" i="3" l="1"/>
  <c r="P333" i="3" s="1"/>
  <c r="N334" i="3"/>
  <c r="N335" i="3" l="1"/>
  <c r="O334" i="3"/>
  <c r="P334" i="3" s="1"/>
  <c r="N336" i="3" l="1"/>
  <c r="O335" i="3"/>
  <c r="P335" i="3" s="1"/>
  <c r="N337" i="3" l="1"/>
  <c r="O336" i="3"/>
  <c r="P336" i="3" s="1"/>
  <c r="O337" i="3" l="1"/>
  <c r="P337" i="3" s="1"/>
  <c r="N338" i="3"/>
  <c r="O338" i="3" l="1"/>
  <c r="P338" i="3" s="1"/>
  <c r="N339" i="3"/>
  <c r="O339" i="3" l="1"/>
  <c r="P339" i="3" s="1"/>
  <c r="N340" i="3"/>
  <c r="N341" i="3" l="1"/>
  <c r="O340" i="3"/>
  <c r="P340" i="3" s="1"/>
  <c r="O341" i="3" l="1"/>
  <c r="P341" i="3" s="1"/>
  <c r="N342" i="3"/>
  <c r="O342" i="3" l="1"/>
  <c r="P342" i="3" s="1"/>
  <c r="N343" i="3"/>
  <c r="N344" i="3" l="1"/>
  <c r="O343" i="3"/>
  <c r="P343" i="3" s="1"/>
  <c r="O344" i="3" l="1"/>
  <c r="P344" i="3" s="1"/>
  <c r="N345" i="3"/>
  <c r="O345" i="3" l="1"/>
  <c r="P345" i="3" s="1"/>
  <c r="N346" i="3"/>
  <c r="N347" i="3" l="1"/>
  <c r="O346" i="3"/>
  <c r="P346" i="3" s="1"/>
  <c r="N348" i="3" l="1"/>
  <c r="O347" i="3"/>
  <c r="P347" i="3" s="1"/>
  <c r="N349" i="3" l="1"/>
  <c r="O348" i="3"/>
  <c r="P348" i="3" s="1"/>
  <c r="O349" i="3" l="1"/>
  <c r="P349" i="3" s="1"/>
  <c r="N350" i="3"/>
  <c r="N351" i="3" l="1"/>
  <c r="O350" i="3"/>
  <c r="P350" i="3" s="1"/>
  <c r="O351" i="3" l="1"/>
  <c r="P351" i="3" s="1"/>
  <c r="N352" i="3"/>
  <c r="O352" i="3" l="1"/>
  <c r="P352" i="3" s="1"/>
  <c r="N353" i="3"/>
  <c r="O353" i="3" l="1"/>
  <c r="P353" i="3" s="1"/>
  <c r="N354" i="3"/>
  <c r="O354" i="3" l="1"/>
  <c r="P354" i="3" s="1"/>
  <c r="N355" i="3"/>
  <c r="N356" i="3" l="1"/>
  <c r="O355" i="3"/>
  <c r="P355" i="3" s="1"/>
  <c r="N357" i="3" l="1"/>
  <c r="O356" i="3"/>
  <c r="P356" i="3" s="1"/>
  <c r="O357" i="3" l="1"/>
  <c r="P357" i="3" s="1"/>
  <c r="N358" i="3"/>
  <c r="O358" i="3" l="1"/>
  <c r="P358" i="3" s="1"/>
  <c r="N359" i="3"/>
  <c r="N360" i="3" l="1"/>
  <c r="O359" i="3"/>
  <c r="P359" i="3" s="1"/>
  <c r="O360" i="3" l="1"/>
  <c r="P360" i="3" s="1"/>
  <c r="N361" i="3"/>
  <c r="O361" i="3" l="1"/>
  <c r="P361" i="3" s="1"/>
  <c r="N362" i="3"/>
  <c r="N363" i="3" l="1"/>
  <c r="O362" i="3"/>
  <c r="P362" i="3" s="1"/>
  <c r="O363" i="3" l="1"/>
  <c r="P363" i="3" s="1"/>
  <c r="N364" i="3"/>
  <c r="O364" i="3" l="1"/>
  <c r="P364" i="3" s="1"/>
  <c r="N365" i="3"/>
  <c r="N366" i="3" l="1"/>
  <c r="O365" i="3"/>
  <c r="P365" i="3" s="1"/>
  <c r="N367" i="3" l="1"/>
  <c r="O366" i="3"/>
  <c r="P366" i="3" s="1"/>
  <c r="Q318" i="3" l="1"/>
  <c r="O367" i="3"/>
  <c r="P367" i="3" s="1"/>
  <c r="R318" i="3" l="1"/>
  <c r="S318" i="3" s="1"/>
  <c r="Q319" i="3"/>
  <c r="Q320" i="3" l="1"/>
  <c r="R319" i="3"/>
  <c r="S319" i="3" s="1"/>
  <c r="Q321" i="3" l="1"/>
  <c r="R320" i="3"/>
  <c r="S320" i="3" s="1"/>
  <c r="R321" i="3" l="1"/>
  <c r="S321" i="3" s="1"/>
  <c r="Q322" i="3"/>
  <c r="R322" i="3" l="1"/>
  <c r="S322" i="3" s="1"/>
  <c r="Q323" i="3"/>
  <c r="R323" i="3" l="1"/>
  <c r="S323" i="3" s="1"/>
  <c r="Q324" i="3"/>
  <c r="R324" i="3" l="1"/>
  <c r="S324" i="3" s="1"/>
  <c r="Q325" i="3"/>
  <c r="R325" i="3" l="1"/>
  <c r="S325" i="3" s="1"/>
  <c r="Q326" i="3"/>
  <c r="Q327" i="3" l="1"/>
  <c r="R326" i="3"/>
  <c r="S326" i="3" s="1"/>
  <c r="R327" i="3" l="1"/>
  <c r="S327" i="3" s="1"/>
  <c r="Q328" i="3"/>
  <c r="R328" i="3" l="1"/>
  <c r="S328" i="3" s="1"/>
  <c r="Q329" i="3"/>
  <c r="R329" i="3" l="1"/>
  <c r="S329" i="3" s="1"/>
  <c r="Q330" i="3"/>
  <c r="Q331" i="3" l="1"/>
  <c r="R330" i="3"/>
  <c r="S330" i="3" s="1"/>
  <c r="Q332" i="3" l="1"/>
  <c r="R331" i="3"/>
  <c r="S331" i="3" s="1"/>
  <c r="Q333" i="3" l="1"/>
  <c r="R332" i="3"/>
  <c r="S332" i="3" s="1"/>
  <c r="R333" i="3" l="1"/>
  <c r="S333" i="3" s="1"/>
  <c r="Q334" i="3"/>
  <c r="R334" i="3" l="1"/>
  <c r="S334" i="3" s="1"/>
  <c r="Q335" i="3"/>
  <c r="Q336" i="3" l="1"/>
  <c r="R335" i="3"/>
  <c r="S335" i="3" s="1"/>
  <c r="Q337" i="3" l="1"/>
  <c r="R336" i="3"/>
  <c r="S336" i="3" s="1"/>
  <c r="R337" i="3" l="1"/>
  <c r="S337" i="3" s="1"/>
  <c r="Q338" i="3"/>
  <c r="Q339" i="3" l="1"/>
  <c r="R338" i="3"/>
  <c r="S338" i="3" s="1"/>
  <c r="R339" i="3" l="1"/>
  <c r="S339" i="3" s="1"/>
  <c r="Q340" i="3"/>
  <c r="R340" i="3" l="1"/>
  <c r="S340" i="3" s="1"/>
  <c r="Q341" i="3"/>
  <c r="R341" i="3" l="1"/>
  <c r="S341" i="3" s="1"/>
  <c r="Q342" i="3"/>
  <c r="Q343" i="3" l="1"/>
  <c r="R342" i="3"/>
  <c r="S342" i="3" s="1"/>
  <c r="R343" i="3" l="1"/>
  <c r="S343" i="3" s="1"/>
  <c r="Q344" i="3"/>
  <c r="Q345" i="3" l="1"/>
  <c r="R344" i="3"/>
  <c r="S344" i="3" s="1"/>
  <c r="Q346" i="3" l="1"/>
  <c r="R345" i="3"/>
  <c r="S345" i="3" s="1"/>
  <c r="R346" i="3" l="1"/>
  <c r="S346" i="3" s="1"/>
  <c r="Q347" i="3"/>
  <c r="R347" i="3" l="1"/>
  <c r="S347" i="3" s="1"/>
  <c r="Q348" i="3"/>
  <c r="Q349" i="3" l="1"/>
  <c r="R348" i="3"/>
  <c r="S348" i="3" s="1"/>
  <c r="R349" i="3" l="1"/>
  <c r="S349" i="3" s="1"/>
  <c r="Q350" i="3"/>
  <c r="Q351" i="3" l="1"/>
  <c r="R350" i="3"/>
  <c r="S350" i="3" s="1"/>
  <c r="Q352" i="3" l="1"/>
  <c r="R351" i="3"/>
  <c r="S351" i="3" s="1"/>
  <c r="R352" i="3" l="1"/>
  <c r="S352" i="3" s="1"/>
  <c r="Q353" i="3"/>
  <c r="R353" i="3" l="1"/>
  <c r="S353" i="3" s="1"/>
  <c r="Q354" i="3"/>
  <c r="Q355" i="3" l="1"/>
  <c r="R354" i="3"/>
  <c r="S354" i="3" s="1"/>
  <c r="R355" i="3" l="1"/>
  <c r="S355" i="3" s="1"/>
  <c r="Q356" i="3"/>
  <c r="Q357" i="3" l="1"/>
  <c r="R356" i="3"/>
  <c r="S356" i="3" s="1"/>
  <c r="Q358" i="3" l="1"/>
  <c r="R357" i="3"/>
  <c r="S357" i="3" s="1"/>
  <c r="R358" i="3" l="1"/>
  <c r="S358" i="3" s="1"/>
  <c r="Q359" i="3"/>
  <c r="R359" i="3" l="1"/>
  <c r="S359" i="3" s="1"/>
  <c r="Q360" i="3"/>
  <c r="Q361" i="3" l="1"/>
  <c r="R360" i="3"/>
  <c r="S360" i="3" s="1"/>
  <c r="R361" i="3" l="1"/>
  <c r="S361" i="3" s="1"/>
  <c r="Q362" i="3"/>
  <c r="Q363" i="3" l="1"/>
  <c r="R362" i="3"/>
  <c r="S362" i="3" s="1"/>
  <c r="Q364" i="3" l="1"/>
  <c r="R363" i="3"/>
  <c r="S363" i="3" s="1"/>
  <c r="R364" i="3" l="1"/>
  <c r="S364" i="3" s="1"/>
  <c r="Q365" i="3"/>
  <c r="R365" i="3" l="1"/>
  <c r="S365" i="3" s="1"/>
  <c r="Q366" i="3"/>
  <c r="R366" i="3" l="1"/>
  <c r="S366" i="3" s="1"/>
  <c r="Q367" i="3"/>
  <c r="T318" i="3" l="1"/>
  <c r="R367" i="3"/>
  <c r="S367" i="3" s="1"/>
  <c r="U318" i="3" l="1"/>
  <c r="V318" i="3" s="1"/>
  <c r="T319" i="3"/>
  <c r="U319" i="3" l="1"/>
  <c r="V319" i="3" s="1"/>
  <c r="T320" i="3"/>
  <c r="T321" i="3" l="1"/>
  <c r="U320" i="3"/>
  <c r="V320" i="3" s="1"/>
  <c r="U321" i="3" l="1"/>
  <c r="V321" i="3" s="1"/>
  <c r="T322" i="3"/>
  <c r="T323" i="3" l="1"/>
  <c r="U322" i="3"/>
  <c r="V322" i="3" s="1"/>
  <c r="T324" i="3" l="1"/>
  <c r="U323" i="3"/>
  <c r="V323" i="3" s="1"/>
  <c r="U324" i="3" l="1"/>
  <c r="V324" i="3" s="1"/>
  <c r="T325" i="3"/>
  <c r="U325" i="3" l="1"/>
  <c r="V325" i="3" s="1"/>
  <c r="T326" i="3"/>
  <c r="U326" i="3" l="1"/>
  <c r="V326" i="3" s="1"/>
  <c r="T327" i="3"/>
  <c r="U327" i="3" l="1"/>
  <c r="V327" i="3" s="1"/>
  <c r="T328" i="3"/>
  <c r="T329" i="3" l="1"/>
  <c r="U328" i="3"/>
  <c r="V328" i="3" s="1"/>
  <c r="T330" i="3" l="1"/>
  <c r="U329" i="3"/>
  <c r="V329" i="3" s="1"/>
  <c r="T331" i="3" l="1"/>
  <c r="U330" i="3"/>
  <c r="V330" i="3" s="1"/>
  <c r="U331" i="3" l="1"/>
  <c r="V331" i="3" s="1"/>
  <c r="T332" i="3"/>
  <c r="T333" i="3" l="1"/>
  <c r="U332" i="3"/>
  <c r="V332" i="3" s="1"/>
  <c r="T334" i="3" l="1"/>
  <c r="U333" i="3"/>
  <c r="V333" i="3" s="1"/>
  <c r="T335" i="3" l="1"/>
  <c r="U334" i="3"/>
  <c r="V334" i="3" s="1"/>
  <c r="U335" i="3" l="1"/>
  <c r="V335" i="3" s="1"/>
  <c r="T336" i="3"/>
  <c r="U336" i="3" l="1"/>
  <c r="V336" i="3" s="1"/>
  <c r="T337" i="3"/>
  <c r="T338" i="3" l="1"/>
  <c r="U337" i="3"/>
  <c r="V337" i="3" s="1"/>
  <c r="U338" i="3" l="1"/>
  <c r="V338" i="3" s="1"/>
  <c r="T339" i="3"/>
  <c r="T340" i="3" l="1"/>
  <c r="U339" i="3"/>
  <c r="V339" i="3" s="1"/>
  <c r="T341" i="3" l="1"/>
  <c r="U340" i="3"/>
  <c r="V340" i="3" s="1"/>
  <c r="T342" i="3" l="1"/>
  <c r="U341" i="3"/>
  <c r="V341" i="3" s="1"/>
  <c r="U342" i="3" l="1"/>
  <c r="V342" i="3" s="1"/>
  <c r="T343" i="3"/>
  <c r="U343" i="3" l="1"/>
  <c r="V343" i="3" s="1"/>
  <c r="T344" i="3"/>
  <c r="T345" i="3" l="1"/>
  <c r="U344" i="3"/>
  <c r="V344" i="3" s="1"/>
  <c r="T346" i="3" l="1"/>
  <c r="U345" i="3"/>
  <c r="V345" i="3" s="1"/>
  <c r="T347" i="3" l="1"/>
  <c r="U346" i="3"/>
  <c r="V346" i="3" s="1"/>
  <c r="U347" i="3" l="1"/>
  <c r="V347" i="3" s="1"/>
  <c r="T348" i="3"/>
  <c r="U348" i="3" l="1"/>
  <c r="V348" i="3" s="1"/>
  <c r="T349" i="3"/>
  <c r="T350" i="3" l="1"/>
  <c r="U349" i="3"/>
  <c r="V349" i="3" s="1"/>
  <c r="T351" i="3" l="1"/>
  <c r="U350" i="3"/>
  <c r="V350" i="3" s="1"/>
  <c r="U351" i="3" l="1"/>
  <c r="V351" i="3" s="1"/>
  <c r="T352" i="3"/>
  <c r="T353" i="3" l="1"/>
  <c r="U352" i="3"/>
  <c r="V352" i="3" s="1"/>
  <c r="T354" i="3" l="1"/>
  <c r="U353" i="3"/>
  <c r="V353" i="3" s="1"/>
  <c r="U354" i="3" l="1"/>
  <c r="V354" i="3" s="1"/>
  <c r="T355" i="3"/>
  <c r="U355" i="3" l="1"/>
  <c r="V355" i="3" s="1"/>
  <c r="T356" i="3"/>
  <c r="T357" i="3" l="1"/>
  <c r="U356" i="3"/>
  <c r="V356" i="3" s="1"/>
  <c r="U357" i="3" l="1"/>
  <c r="V357" i="3" s="1"/>
  <c r="T358" i="3"/>
  <c r="T359" i="3" l="1"/>
  <c r="U358" i="3"/>
  <c r="V358" i="3" s="1"/>
  <c r="T360" i="3" l="1"/>
  <c r="U359" i="3"/>
  <c r="V359" i="3" s="1"/>
  <c r="U360" i="3" l="1"/>
  <c r="V360" i="3" s="1"/>
  <c r="T361" i="3"/>
  <c r="U361" i="3" l="1"/>
  <c r="V361" i="3" s="1"/>
  <c r="T362" i="3"/>
  <c r="T363" i="3" l="1"/>
  <c r="U362" i="3"/>
  <c r="V362" i="3" s="1"/>
  <c r="U363" i="3" l="1"/>
  <c r="V363" i="3" s="1"/>
  <c r="T364" i="3"/>
  <c r="T365" i="3" l="1"/>
  <c r="U364" i="3"/>
  <c r="V364" i="3" s="1"/>
  <c r="T366" i="3" l="1"/>
  <c r="U365" i="3"/>
  <c r="V365" i="3" s="1"/>
  <c r="U366" i="3" l="1"/>
  <c r="V366" i="3" s="1"/>
  <c r="T367" i="3"/>
  <c r="W318" i="3" l="1"/>
  <c r="U367" i="3"/>
  <c r="V367" i="3" s="1"/>
  <c r="W319" i="3" l="1"/>
  <c r="X318" i="3"/>
  <c r="Y318" i="3" s="1"/>
  <c r="W320" i="3" l="1"/>
  <c r="X319" i="3"/>
  <c r="Y319" i="3" s="1"/>
  <c r="W321" i="3" l="1"/>
  <c r="X320" i="3"/>
  <c r="Y320" i="3" s="1"/>
  <c r="W322" i="3" l="1"/>
  <c r="X321" i="3"/>
  <c r="Y321" i="3" s="1"/>
  <c r="W323" i="3" l="1"/>
  <c r="X322" i="3"/>
  <c r="Y322" i="3" s="1"/>
  <c r="W324" i="3" l="1"/>
  <c r="X323" i="3"/>
  <c r="Y323" i="3" s="1"/>
  <c r="W325" i="3" l="1"/>
  <c r="X324" i="3"/>
  <c r="Y324" i="3" s="1"/>
  <c r="W326" i="3" l="1"/>
  <c r="X325" i="3"/>
  <c r="Y325" i="3" s="1"/>
  <c r="W327" i="3" l="1"/>
  <c r="X326" i="3"/>
  <c r="Y326" i="3" s="1"/>
  <c r="W328" i="3" l="1"/>
  <c r="X327" i="3"/>
  <c r="Y327" i="3" s="1"/>
  <c r="W329" i="3" l="1"/>
  <c r="X328" i="3"/>
  <c r="Y328" i="3" s="1"/>
  <c r="W330" i="3" l="1"/>
  <c r="X329" i="3"/>
  <c r="Y329" i="3" s="1"/>
  <c r="W331" i="3" l="1"/>
  <c r="X330" i="3"/>
  <c r="Y330" i="3" s="1"/>
  <c r="W332" i="3" l="1"/>
  <c r="X331" i="3"/>
  <c r="Y331" i="3" s="1"/>
  <c r="X332" i="3" l="1"/>
  <c r="Y332" i="3" s="1"/>
  <c r="W333" i="3"/>
  <c r="X333" i="3" l="1"/>
  <c r="Y333" i="3" s="1"/>
  <c r="W334" i="3"/>
  <c r="W335" i="3" l="1"/>
  <c r="X334" i="3"/>
  <c r="Y334" i="3" s="1"/>
  <c r="W336" i="3" l="1"/>
  <c r="X335" i="3"/>
  <c r="Y335" i="3" s="1"/>
  <c r="X336" i="3" l="1"/>
  <c r="Y336" i="3" s="1"/>
  <c r="W337" i="3"/>
  <c r="X337" i="3" l="1"/>
  <c r="Y337" i="3" s="1"/>
  <c r="W338" i="3"/>
  <c r="X338" i="3" l="1"/>
  <c r="Y338" i="3" s="1"/>
  <c r="W339" i="3"/>
  <c r="X339" i="3" l="1"/>
  <c r="Y339" i="3" s="1"/>
  <c r="W340" i="3"/>
  <c r="W341" i="3" l="1"/>
  <c r="X340" i="3"/>
  <c r="Y340" i="3" s="1"/>
  <c r="W342" i="3" l="1"/>
  <c r="X341" i="3"/>
  <c r="Y341" i="3" s="1"/>
  <c r="X342" i="3" l="1"/>
  <c r="Y342" i="3" s="1"/>
  <c r="W343" i="3"/>
  <c r="W344" i="3" l="1"/>
  <c r="X343" i="3"/>
  <c r="Y343" i="3" s="1"/>
  <c r="W345" i="3" l="1"/>
  <c r="X344" i="3"/>
  <c r="Y344" i="3" s="1"/>
  <c r="X345" i="3" l="1"/>
  <c r="Y345" i="3" s="1"/>
  <c r="W346" i="3"/>
  <c r="W347" i="3" l="1"/>
  <c r="X346" i="3"/>
  <c r="Y346" i="3" s="1"/>
  <c r="W348" i="3" l="1"/>
  <c r="X347" i="3"/>
  <c r="Y347" i="3" s="1"/>
  <c r="X348" i="3" l="1"/>
  <c r="Y348" i="3" s="1"/>
  <c r="W349" i="3"/>
  <c r="X349" i="3" l="1"/>
  <c r="Y349" i="3" s="1"/>
  <c r="W350" i="3"/>
  <c r="W351" i="3" l="1"/>
  <c r="X350" i="3"/>
  <c r="Y350" i="3" s="1"/>
  <c r="W352" i="3" l="1"/>
  <c r="X351" i="3"/>
  <c r="Y351" i="3" s="1"/>
  <c r="W353" i="3" l="1"/>
  <c r="X352" i="3"/>
  <c r="Y352" i="3" s="1"/>
  <c r="W354" i="3" l="1"/>
  <c r="X353" i="3"/>
  <c r="Y353" i="3" s="1"/>
  <c r="X354" i="3" l="1"/>
  <c r="Y354" i="3" s="1"/>
  <c r="W355" i="3"/>
  <c r="W356" i="3" l="1"/>
  <c r="X355" i="3"/>
  <c r="Y355" i="3" s="1"/>
  <c r="W357" i="3" l="1"/>
  <c r="X356" i="3"/>
  <c r="Y356" i="3" s="1"/>
  <c r="X357" i="3" l="1"/>
  <c r="Y357" i="3" s="1"/>
  <c r="W358" i="3"/>
  <c r="X358" i="3" l="1"/>
  <c r="Y358" i="3" s="1"/>
  <c r="W359" i="3"/>
  <c r="W360" i="3" l="1"/>
  <c r="X359" i="3"/>
  <c r="Y359" i="3" s="1"/>
  <c r="W361" i="3" l="1"/>
  <c r="X360" i="3"/>
  <c r="Y360" i="3" s="1"/>
  <c r="X361" i="3" l="1"/>
  <c r="Y361" i="3" s="1"/>
  <c r="W362" i="3"/>
  <c r="X362" i="3" l="1"/>
  <c r="Y362" i="3" s="1"/>
  <c r="W363" i="3"/>
  <c r="X363" i="3" l="1"/>
  <c r="Y363" i="3" s="1"/>
  <c r="W364" i="3"/>
  <c r="X364" i="3" l="1"/>
  <c r="Y364" i="3" s="1"/>
  <c r="W365" i="3"/>
  <c r="W366" i="3" l="1"/>
  <c r="X365" i="3"/>
  <c r="Y365" i="3" s="1"/>
  <c r="X366" i="3" l="1"/>
  <c r="Y366" i="3" s="1"/>
  <c r="W367" i="3"/>
  <c r="X367" i="3" l="1"/>
  <c r="Y367" i="3" s="1"/>
  <c r="N368" i="3"/>
  <c r="O368" i="3" l="1"/>
  <c r="P368" i="3" s="1"/>
  <c r="N369" i="3"/>
  <c r="O369" i="3" l="1"/>
  <c r="P369" i="3" s="1"/>
  <c r="N370" i="3"/>
  <c r="N371" i="3" l="1"/>
  <c r="O370" i="3"/>
  <c r="P370" i="3" s="1"/>
  <c r="O371" i="3" l="1"/>
  <c r="P371" i="3" s="1"/>
  <c r="N372" i="3"/>
  <c r="N373" i="3" l="1"/>
  <c r="O372" i="3"/>
  <c r="P372" i="3" s="1"/>
  <c r="N374" i="3" l="1"/>
  <c r="O373" i="3"/>
  <c r="P373" i="3" s="1"/>
  <c r="O374" i="3" l="1"/>
  <c r="P374" i="3" s="1"/>
  <c r="N375" i="3"/>
  <c r="N376" i="3" l="1"/>
  <c r="O375" i="3"/>
  <c r="P375" i="3" s="1"/>
  <c r="O376" i="3" l="1"/>
  <c r="P376" i="3" s="1"/>
  <c r="N377" i="3"/>
  <c r="N378" i="3" l="1"/>
  <c r="O377" i="3"/>
  <c r="P377" i="3" s="1"/>
  <c r="N379" i="3" l="1"/>
  <c r="O378" i="3"/>
  <c r="P378" i="3" s="1"/>
  <c r="N380" i="3" l="1"/>
  <c r="O379" i="3"/>
  <c r="P379" i="3" s="1"/>
  <c r="N381" i="3" l="1"/>
  <c r="O380" i="3"/>
  <c r="P380" i="3" s="1"/>
  <c r="O381" i="3" l="1"/>
  <c r="P381" i="3" s="1"/>
  <c r="N382" i="3"/>
  <c r="N383" i="3" l="1"/>
  <c r="O382" i="3"/>
  <c r="P382" i="3" s="1"/>
  <c r="N384" i="3" l="1"/>
  <c r="O383" i="3"/>
  <c r="P383" i="3" s="1"/>
  <c r="N385" i="3" l="1"/>
  <c r="O384" i="3"/>
  <c r="P384" i="3" s="1"/>
  <c r="N386" i="3" l="1"/>
  <c r="O385" i="3"/>
  <c r="P385" i="3" s="1"/>
  <c r="N387" i="3" l="1"/>
  <c r="O386" i="3"/>
  <c r="P386" i="3" s="1"/>
  <c r="N388" i="3" l="1"/>
  <c r="O387" i="3"/>
  <c r="P387" i="3" s="1"/>
  <c r="O388" i="3" l="1"/>
  <c r="P388" i="3" s="1"/>
  <c r="N389" i="3"/>
  <c r="N390" i="3" l="1"/>
  <c r="O389" i="3"/>
  <c r="P389" i="3" s="1"/>
  <c r="N391" i="3" l="1"/>
  <c r="O390" i="3"/>
  <c r="P390" i="3" s="1"/>
  <c r="N392" i="3" l="1"/>
  <c r="O391" i="3"/>
  <c r="P391" i="3" s="1"/>
  <c r="O392" i="3" l="1"/>
  <c r="P392" i="3" s="1"/>
  <c r="N393" i="3"/>
  <c r="N394" i="3" l="1"/>
  <c r="O393" i="3"/>
  <c r="P393" i="3" s="1"/>
  <c r="N395" i="3" l="1"/>
  <c r="O394" i="3"/>
  <c r="P394" i="3" s="1"/>
  <c r="N396" i="3" l="1"/>
  <c r="O395" i="3"/>
  <c r="P395" i="3" s="1"/>
  <c r="O396" i="3" l="1"/>
  <c r="P396" i="3" s="1"/>
  <c r="N397" i="3"/>
  <c r="N398" i="3" l="1"/>
  <c r="O397" i="3"/>
  <c r="P397" i="3" s="1"/>
  <c r="N399" i="3" l="1"/>
  <c r="O398" i="3"/>
  <c r="P398" i="3" s="1"/>
  <c r="N400" i="3" l="1"/>
  <c r="O399" i="3"/>
  <c r="P399" i="3" s="1"/>
  <c r="O400" i="3" l="1"/>
  <c r="P400" i="3" s="1"/>
  <c r="N401" i="3"/>
  <c r="N402" i="3" l="1"/>
  <c r="O401" i="3"/>
  <c r="P401" i="3" s="1"/>
  <c r="N403" i="3" l="1"/>
  <c r="O402" i="3"/>
  <c r="P402" i="3" s="1"/>
  <c r="N404" i="3" l="1"/>
  <c r="O403" i="3"/>
  <c r="P403" i="3" s="1"/>
  <c r="O404" i="3" l="1"/>
  <c r="P404" i="3" s="1"/>
  <c r="N405" i="3"/>
  <c r="N406" i="3" l="1"/>
  <c r="O405" i="3"/>
  <c r="P405" i="3" s="1"/>
  <c r="N407" i="3" l="1"/>
  <c r="O406" i="3"/>
  <c r="P406" i="3" s="1"/>
  <c r="N408" i="3" l="1"/>
  <c r="O407" i="3"/>
  <c r="P407" i="3" s="1"/>
  <c r="O408" i="3" l="1"/>
  <c r="P408" i="3" s="1"/>
  <c r="N409" i="3"/>
  <c r="N410" i="3" l="1"/>
  <c r="O409" i="3"/>
  <c r="P409" i="3" s="1"/>
  <c r="N411" i="3" l="1"/>
  <c r="O410" i="3"/>
  <c r="P410" i="3" s="1"/>
  <c r="N412" i="3" l="1"/>
  <c r="O411" i="3"/>
  <c r="P411" i="3" s="1"/>
  <c r="O412" i="3" l="1"/>
  <c r="P412" i="3" s="1"/>
  <c r="N413" i="3"/>
  <c r="N414" i="3" l="1"/>
  <c r="O413" i="3"/>
  <c r="P413" i="3" s="1"/>
  <c r="N415" i="3" l="1"/>
  <c r="O414" i="3"/>
  <c r="P414" i="3" s="1"/>
  <c r="N416" i="3" l="1"/>
  <c r="O415" i="3"/>
  <c r="P415" i="3" s="1"/>
  <c r="O416" i="3" l="1"/>
  <c r="P416" i="3" s="1"/>
  <c r="N417" i="3"/>
  <c r="O417" i="3" l="1"/>
  <c r="Q368" i="3"/>
  <c r="Q369" i="3" l="1"/>
  <c r="R368" i="3"/>
  <c r="S368" i="3" s="1"/>
  <c r="P417" i="3"/>
  <c r="R369" i="3" l="1"/>
  <c r="Q370" i="3"/>
  <c r="R370" i="3" l="1"/>
  <c r="S370" i="3" s="1"/>
  <c r="Q371" i="3"/>
  <c r="S369" i="3"/>
  <c r="R371" i="3" l="1"/>
  <c r="Q372" i="3"/>
  <c r="R372" i="3" l="1"/>
  <c r="S372" i="3" s="1"/>
  <c r="Q373" i="3"/>
  <c r="S371" i="3"/>
  <c r="Q374" i="3" l="1"/>
  <c r="R373" i="3"/>
  <c r="S373" i="3" l="1"/>
  <c r="Q375" i="3"/>
  <c r="R374" i="3"/>
  <c r="S374" i="3" s="1"/>
  <c r="Q376" i="3" l="1"/>
  <c r="R375" i="3"/>
  <c r="S375" i="3" l="1"/>
  <c r="Q377" i="3"/>
  <c r="R376" i="3"/>
  <c r="S376" i="3" s="1"/>
  <c r="R377" i="3" l="1"/>
  <c r="S377" i="3" s="1"/>
  <c r="Q378" i="3"/>
  <c r="Q379" i="3" l="1"/>
  <c r="R378" i="3"/>
  <c r="S378" i="3" s="1"/>
  <c r="R379" i="3" l="1"/>
  <c r="S379" i="3" s="1"/>
  <c r="Q380" i="3"/>
  <c r="Q381" i="3" l="1"/>
  <c r="R380" i="3"/>
  <c r="S380" i="3" s="1"/>
  <c r="R381" i="3" l="1"/>
  <c r="S381" i="3" s="1"/>
  <c r="Q382" i="3"/>
  <c r="Q383" i="3" l="1"/>
  <c r="R382" i="3"/>
  <c r="S382" i="3" s="1"/>
  <c r="R383" i="3" l="1"/>
  <c r="S383" i="3" s="1"/>
  <c r="Q384" i="3"/>
  <c r="Q385" i="3" l="1"/>
  <c r="R384" i="3"/>
  <c r="S384" i="3" s="1"/>
  <c r="R385" i="3" l="1"/>
  <c r="S385" i="3" s="1"/>
  <c r="Q386" i="3"/>
  <c r="R386" i="3" l="1"/>
  <c r="S386" i="3" s="1"/>
  <c r="Q387" i="3"/>
  <c r="R387" i="3" l="1"/>
  <c r="S387" i="3" s="1"/>
  <c r="Q388" i="3"/>
  <c r="Q389" i="3" l="1"/>
  <c r="R388" i="3"/>
  <c r="S388" i="3" s="1"/>
  <c r="R389" i="3" l="1"/>
  <c r="S389" i="3" s="1"/>
  <c r="Q390" i="3"/>
  <c r="R390" i="3" l="1"/>
  <c r="S390" i="3" s="1"/>
  <c r="Q391" i="3"/>
  <c r="Q392" i="3" l="1"/>
  <c r="R391" i="3"/>
  <c r="S391" i="3" s="1"/>
  <c r="Q393" i="3" l="1"/>
  <c r="R392" i="3"/>
  <c r="S392" i="3" s="1"/>
  <c r="R393" i="3" l="1"/>
  <c r="S393" i="3" s="1"/>
  <c r="Q394" i="3"/>
  <c r="R394" i="3" l="1"/>
  <c r="S394" i="3" s="1"/>
  <c r="Q395" i="3"/>
  <c r="Q396" i="3" l="1"/>
  <c r="R395" i="3"/>
  <c r="S395" i="3" s="1"/>
  <c r="Q397" i="3" l="1"/>
  <c r="R396" i="3"/>
  <c r="S396" i="3" s="1"/>
  <c r="R397" i="3" l="1"/>
  <c r="S397" i="3" s="1"/>
  <c r="Q398" i="3"/>
  <c r="R398" i="3" l="1"/>
  <c r="S398" i="3" s="1"/>
  <c r="Q399" i="3"/>
  <c r="R399" i="3" l="1"/>
  <c r="S399" i="3" s="1"/>
  <c r="Q400" i="3"/>
  <c r="Q401" i="3" l="1"/>
  <c r="R400" i="3"/>
  <c r="S400" i="3" s="1"/>
  <c r="R401" i="3" l="1"/>
  <c r="S401" i="3" s="1"/>
  <c r="Q402" i="3"/>
  <c r="R402" i="3" l="1"/>
  <c r="S402" i="3" s="1"/>
  <c r="Q403" i="3"/>
  <c r="Q404" i="3" l="1"/>
  <c r="R403" i="3"/>
  <c r="S403" i="3" s="1"/>
  <c r="Q405" i="3" l="1"/>
  <c r="R404" i="3"/>
  <c r="S404" i="3" s="1"/>
  <c r="R405" i="3" l="1"/>
  <c r="S405" i="3" s="1"/>
  <c r="Q406" i="3"/>
  <c r="R406" i="3" l="1"/>
  <c r="S406" i="3" s="1"/>
  <c r="Q407" i="3"/>
  <c r="R407" i="3" l="1"/>
  <c r="S407" i="3" s="1"/>
  <c r="Q408" i="3"/>
  <c r="Q409" i="3" l="1"/>
  <c r="R408" i="3"/>
  <c r="S408" i="3" s="1"/>
  <c r="R409" i="3" l="1"/>
  <c r="S409" i="3" s="1"/>
  <c r="Q410" i="3"/>
  <c r="R410" i="3" l="1"/>
  <c r="S410" i="3" s="1"/>
  <c r="Q411" i="3"/>
  <c r="R411" i="3" l="1"/>
  <c r="S411" i="3" s="1"/>
  <c r="Q412" i="3"/>
  <c r="Q413" i="3" l="1"/>
  <c r="R412" i="3"/>
  <c r="S412" i="3" s="1"/>
  <c r="R413" i="3" l="1"/>
  <c r="S413" i="3" s="1"/>
  <c r="Q414" i="3"/>
  <c r="R414" i="3" l="1"/>
  <c r="S414" i="3" s="1"/>
  <c r="Q415" i="3"/>
  <c r="Q416" i="3" l="1"/>
  <c r="R415" i="3"/>
  <c r="S415" i="3" s="1"/>
  <c r="Q417" i="3" l="1"/>
  <c r="R416" i="3"/>
  <c r="S416" i="3" s="1"/>
  <c r="R417" i="3" l="1"/>
  <c r="T368" i="3"/>
  <c r="T369" i="3" l="1"/>
  <c r="U368" i="3"/>
  <c r="V368" i="3" s="1"/>
  <c r="S417" i="3"/>
  <c r="T370" i="3" l="1"/>
  <c r="U369" i="3"/>
  <c r="V369" i="3" l="1"/>
  <c r="U370" i="3"/>
  <c r="V370" i="3" s="1"/>
  <c r="T371" i="3"/>
  <c r="T372" i="3" l="1"/>
  <c r="U371" i="3"/>
  <c r="V371" i="3" l="1"/>
  <c r="U372" i="3"/>
  <c r="V372" i="3" s="1"/>
  <c r="T373" i="3"/>
  <c r="T374" i="3" l="1"/>
  <c r="U373" i="3"/>
  <c r="V373" i="3" l="1"/>
  <c r="T375" i="3"/>
  <c r="U374" i="3"/>
  <c r="V374" i="3" l="1"/>
  <c r="U375" i="3"/>
  <c r="T376" i="3"/>
  <c r="T377" i="3" l="1"/>
  <c r="U376" i="3"/>
  <c r="V376" i="3" s="1"/>
  <c r="V375" i="3"/>
  <c r="T378" i="3" l="1"/>
  <c r="U377" i="3"/>
  <c r="V377" i="3" s="1"/>
  <c r="T379" i="3" l="1"/>
  <c r="U378" i="3"/>
  <c r="V378" i="3" s="1"/>
  <c r="U379" i="3" l="1"/>
  <c r="V379" i="3" s="1"/>
  <c r="T380" i="3"/>
  <c r="T381" i="3" l="1"/>
  <c r="U380" i="3"/>
  <c r="V380" i="3" s="1"/>
  <c r="T382" i="3" l="1"/>
  <c r="U381" i="3"/>
  <c r="V381" i="3" s="1"/>
  <c r="T383" i="3" l="1"/>
  <c r="U382" i="3"/>
  <c r="V382" i="3" s="1"/>
  <c r="T384" i="3" l="1"/>
  <c r="U383" i="3"/>
  <c r="V383" i="3" s="1"/>
  <c r="U384" i="3" l="1"/>
  <c r="V384" i="3" s="1"/>
  <c r="T385" i="3"/>
  <c r="T386" i="3" l="1"/>
  <c r="U385" i="3"/>
  <c r="V385" i="3" s="1"/>
  <c r="U386" i="3" l="1"/>
  <c r="V386" i="3" s="1"/>
  <c r="T387" i="3"/>
  <c r="T388" i="3" l="1"/>
  <c r="U387" i="3"/>
  <c r="V387" i="3" s="1"/>
  <c r="U388" i="3" l="1"/>
  <c r="V388" i="3" s="1"/>
  <c r="T389" i="3"/>
  <c r="T390" i="3" l="1"/>
  <c r="U389" i="3"/>
  <c r="V389" i="3" s="1"/>
  <c r="U390" i="3" l="1"/>
  <c r="V390" i="3" s="1"/>
  <c r="T391" i="3"/>
  <c r="T392" i="3" l="1"/>
  <c r="U391" i="3"/>
  <c r="V391" i="3" s="1"/>
  <c r="U392" i="3" l="1"/>
  <c r="V392" i="3" s="1"/>
  <c r="T393" i="3"/>
  <c r="T394" i="3" l="1"/>
  <c r="U393" i="3"/>
  <c r="V393" i="3" s="1"/>
  <c r="U394" i="3" l="1"/>
  <c r="V394" i="3" s="1"/>
  <c r="T395" i="3"/>
  <c r="T396" i="3" l="1"/>
  <c r="U395" i="3"/>
  <c r="V395" i="3" s="1"/>
  <c r="U396" i="3" l="1"/>
  <c r="V396" i="3" s="1"/>
  <c r="T397" i="3"/>
  <c r="T398" i="3" l="1"/>
  <c r="U397" i="3"/>
  <c r="V397" i="3" s="1"/>
  <c r="U398" i="3" l="1"/>
  <c r="V398" i="3" s="1"/>
  <c r="T399" i="3"/>
  <c r="T400" i="3" l="1"/>
  <c r="U399" i="3"/>
  <c r="V399" i="3" s="1"/>
  <c r="U400" i="3" l="1"/>
  <c r="V400" i="3" s="1"/>
  <c r="T401" i="3"/>
  <c r="T402" i="3" l="1"/>
  <c r="U401" i="3"/>
  <c r="V401" i="3" s="1"/>
  <c r="U402" i="3" l="1"/>
  <c r="V402" i="3" s="1"/>
  <c r="T403" i="3"/>
  <c r="T404" i="3" l="1"/>
  <c r="U403" i="3"/>
  <c r="V403" i="3" s="1"/>
  <c r="U404" i="3" l="1"/>
  <c r="V404" i="3" s="1"/>
  <c r="T405" i="3"/>
  <c r="T406" i="3" l="1"/>
  <c r="U405" i="3"/>
  <c r="V405" i="3" s="1"/>
  <c r="U406" i="3" l="1"/>
  <c r="V406" i="3" s="1"/>
  <c r="T407" i="3"/>
  <c r="T408" i="3" l="1"/>
  <c r="U407" i="3"/>
  <c r="V407" i="3" s="1"/>
  <c r="U408" i="3" l="1"/>
  <c r="V408" i="3" s="1"/>
  <c r="T409" i="3"/>
  <c r="T410" i="3" l="1"/>
  <c r="U409" i="3"/>
  <c r="V409" i="3" s="1"/>
  <c r="U410" i="3" l="1"/>
  <c r="V410" i="3" s="1"/>
  <c r="T411" i="3"/>
  <c r="T412" i="3" l="1"/>
  <c r="U411" i="3"/>
  <c r="V411" i="3" s="1"/>
  <c r="U412" i="3" l="1"/>
  <c r="V412" i="3" s="1"/>
  <c r="T413" i="3"/>
  <c r="T414" i="3" l="1"/>
  <c r="U413" i="3"/>
  <c r="V413" i="3" s="1"/>
  <c r="U414" i="3" l="1"/>
  <c r="V414" i="3" s="1"/>
  <c r="T415" i="3"/>
  <c r="U415" i="3" l="1"/>
  <c r="V415" i="3" s="1"/>
  <c r="T416" i="3"/>
  <c r="T417" i="3" l="1"/>
  <c r="U416" i="3"/>
  <c r="V416" i="3" s="1"/>
  <c r="U417" i="3" l="1"/>
  <c r="W368" i="3"/>
  <c r="X368" i="3" l="1"/>
  <c r="Y368" i="3" s="1"/>
  <c r="W369" i="3"/>
  <c r="V417" i="3"/>
  <c r="X369" i="3" l="1"/>
  <c r="W370" i="3"/>
  <c r="X370" i="3" l="1"/>
  <c r="Y370" i="3" s="1"/>
  <c r="W371" i="3"/>
  <c r="Y369" i="3"/>
  <c r="X371" i="3" l="1"/>
  <c r="W372" i="3"/>
  <c r="X372" i="3" l="1"/>
  <c r="Y372" i="3" s="1"/>
  <c r="W373" i="3"/>
  <c r="Y371" i="3"/>
  <c r="X373" i="3" l="1"/>
  <c r="W374" i="3"/>
  <c r="X374" i="3" l="1"/>
  <c r="Y374" i="3" s="1"/>
  <c r="W375" i="3"/>
  <c r="Y373" i="3"/>
  <c r="X375" i="3" l="1"/>
  <c r="W376" i="3"/>
  <c r="X376" i="3" l="1"/>
  <c r="Y376" i="3" s="1"/>
  <c r="W377" i="3"/>
  <c r="Y375" i="3"/>
  <c r="X377" i="3" l="1"/>
  <c r="Y377" i="3" s="1"/>
  <c r="W378" i="3"/>
  <c r="X378" i="3" l="1"/>
  <c r="Y378" i="3" s="1"/>
  <c r="W379" i="3"/>
  <c r="X379" i="3" l="1"/>
  <c r="Y379" i="3" s="1"/>
  <c r="W380" i="3"/>
  <c r="X380" i="3" l="1"/>
  <c r="Y380" i="3" s="1"/>
  <c r="W381" i="3"/>
  <c r="X381" i="3" l="1"/>
  <c r="Y381" i="3" s="1"/>
  <c r="W382" i="3"/>
  <c r="X382" i="3" l="1"/>
  <c r="Y382" i="3" s="1"/>
  <c r="W383" i="3"/>
  <c r="X383" i="3" l="1"/>
  <c r="Y383" i="3" s="1"/>
  <c r="W384" i="3"/>
  <c r="X384" i="3" l="1"/>
  <c r="Y384" i="3" s="1"/>
  <c r="W385" i="3"/>
  <c r="X385" i="3" l="1"/>
  <c r="Y385" i="3" s="1"/>
  <c r="W386" i="3"/>
  <c r="X386" i="3" l="1"/>
  <c r="Y386" i="3" s="1"/>
  <c r="W387" i="3"/>
  <c r="X387" i="3" l="1"/>
  <c r="Y387" i="3" s="1"/>
  <c r="W388" i="3"/>
  <c r="X388" i="3" l="1"/>
  <c r="Y388" i="3" s="1"/>
  <c r="W389" i="3"/>
  <c r="X389" i="3" l="1"/>
  <c r="Y389" i="3" s="1"/>
  <c r="W390" i="3"/>
  <c r="X390" i="3" l="1"/>
  <c r="Y390" i="3" s="1"/>
  <c r="W391" i="3"/>
  <c r="X391" i="3" l="1"/>
  <c r="Y391" i="3" s="1"/>
  <c r="W392" i="3"/>
  <c r="X392" i="3" l="1"/>
  <c r="Y392" i="3" s="1"/>
  <c r="W393" i="3"/>
  <c r="X393" i="3" l="1"/>
  <c r="Y393" i="3" s="1"/>
  <c r="W394" i="3"/>
  <c r="X394" i="3" l="1"/>
  <c r="Y394" i="3" s="1"/>
  <c r="W395" i="3"/>
  <c r="X395" i="3" l="1"/>
  <c r="Y395" i="3" s="1"/>
  <c r="W396" i="3"/>
  <c r="X396" i="3" l="1"/>
  <c r="Y396" i="3" s="1"/>
  <c r="W397" i="3"/>
  <c r="X397" i="3" l="1"/>
  <c r="Y397" i="3" s="1"/>
  <c r="W398" i="3"/>
  <c r="X398" i="3" l="1"/>
  <c r="Y398" i="3" s="1"/>
  <c r="W399" i="3"/>
  <c r="X399" i="3" l="1"/>
  <c r="Y399" i="3" s="1"/>
  <c r="W400" i="3"/>
  <c r="X400" i="3" l="1"/>
  <c r="Y400" i="3" s="1"/>
  <c r="W401" i="3"/>
  <c r="X401" i="3" l="1"/>
  <c r="Y401" i="3" s="1"/>
  <c r="W402" i="3"/>
  <c r="X402" i="3" l="1"/>
  <c r="Y402" i="3" s="1"/>
  <c r="W403" i="3"/>
  <c r="X403" i="3" l="1"/>
  <c r="Y403" i="3" s="1"/>
  <c r="W404" i="3"/>
  <c r="X404" i="3" l="1"/>
  <c r="Y404" i="3" s="1"/>
  <c r="W405" i="3"/>
  <c r="X405" i="3" l="1"/>
  <c r="Y405" i="3" s="1"/>
  <c r="W406" i="3"/>
  <c r="X406" i="3" l="1"/>
  <c r="Y406" i="3" s="1"/>
  <c r="W407" i="3"/>
  <c r="X407" i="3" l="1"/>
  <c r="Y407" i="3" s="1"/>
  <c r="W408" i="3"/>
  <c r="X408" i="3" l="1"/>
  <c r="Y408" i="3" s="1"/>
  <c r="W409" i="3"/>
  <c r="X409" i="3" l="1"/>
  <c r="Y409" i="3" s="1"/>
  <c r="W410" i="3"/>
  <c r="X410" i="3" l="1"/>
  <c r="Y410" i="3" s="1"/>
  <c r="W411" i="3"/>
  <c r="X411" i="3" l="1"/>
  <c r="Y411" i="3" s="1"/>
  <c r="W412" i="3"/>
  <c r="X412" i="3" l="1"/>
  <c r="Y412" i="3" s="1"/>
  <c r="W413" i="3"/>
  <c r="X413" i="3" l="1"/>
  <c r="Y413" i="3" s="1"/>
  <c r="W414" i="3"/>
  <c r="X414" i="3" l="1"/>
  <c r="Y414" i="3" s="1"/>
  <c r="W415" i="3"/>
  <c r="X415" i="3" l="1"/>
  <c r="Y415" i="3" s="1"/>
  <c r="W416" i="3"/>
  <c r="X416" i="3" l="1"/>
  <c r="Y416" i="3" s="1"/>
  <c r="W417" i="3"/>
  <c r="X417" i="3" s="1"/>
  <c r="Y417" i="3" l="1"/>
  <c r="P19" i="3"/>
  <c r="P18" i="3"/>
  <c r="N15" i="3" s="1"/>
  <c r="P20" i="3"/>
</calcChain>
</file>

<file path=xl/sharedStrings.xml><?xml version="1.0" encoding="utf-8"?>
<sst xmlns="http://schemas.openxmlformats.org/spreadsheetml/2006/main" count="291" uniqueCount="139">
  <si>
    <t>PKF Sridhar &amp; Santhanam LLP</t>
  </si>
  <si>
    <t>Audit Sampling Methodology - Statutory Audits</t>
  </si>
  <si>
    <t>Cells highlighed in Blue are to be filled up</t>
  </si>
  <si>
    <t>Auditor confidence level</t>
  </si>
  <si>
    <t xml:space="preserve">Para 7.3 </t>
  </si>
  <si>
    <t>Performance materiality</t>
  </si>
  <si>
    <t>&gt;&gt; Enter performance matetriality</t>
  </si>
  <si>
    <t>Step 1 - Inherent risk - Magnitude</t>
  </si>
  <si>
    <t>Magnitude</t>
  </si>
  <si>
    <t xml:space="preserve">High </t>
  </si>
  <si>
    <t xml:space="preserve">More than </t>
  </si>
  <si>
    <t>Medium</t>
  </si>
  <si>
    <t>between</t>
  </si>
  <si>
    <t>Low</t>
  </si>
  <si>
    <t>below</t>
  </si>
  <si>
    <t>Note: Do this for population not subjected to check also</t>
  </si>
  <si>
    <t>Step 2 - Inherent Risk - Probability</t>
  </si>
  <si>
    <t>Probability of misstatement</t>
  </si>
  <si>
    <t>Check</t>
  </si>
  <si>
    <t>True/false</t>
  </si>
  <si>
    <t>if True</t>
  </si>
  <si>
    <t>Likely plus</t>
  </si>
  <si>
    <t>Fraud risk</t>
  </si>
  <si>
    <t>F</t>
  </si>
  <si>
    <t>High</t>
  </si>
  <si>
    <t>Risk related to recent significant economic,  accounting etc development</t>
  </si>
  <si>
    <t>Complex transaction</t>
  </si>
  <si>
    <t>Material related party transaction</t>
  </si>
  <si>
    <t>High subjectivity</t>
  </si>
  <si>
    <t>Unusual /outside normal course of business</t>
  </si>
  <si>
    <t xml:space="preserve">Likely  </t>
  </si>
  <si>
    <t>Unlikely</t>
  </si>
  <si>
    <t>Step 3 - Inherent risk assessment</t>
  </si>
  <si>
    <t>Magnitude/ Monetary impact</t>
  </si>
  <si>
    <t>Likelihood of MM</t>
  </si>
  <si>
    <t>High/
Significant</t>
  </si>
  <si>
    <t>High/significant</t>
  </si>
  <si>
    <t>High/Significant</t>
  </si>
  <si>
    <t>Step 4 - Control risk</t>
  </si>
  <si>
    <t>Control risk</t>
  </si>
  <si>
    <t>Means</t>
  </si>
  <si>
    <t>No control testing done</t>
  </si>
  <si>
    <t xml:space="preserve">Some control testing done and found working </t>
  </si>
  <si>
    <t>Control testing done and controls implemented and working effectively</t>
  </si>
  <si>
    <t>Step 5 - Auditor confidence level</t>
  </si>
  <si>
    <t>Inherent risk (Step-3)</t>
  </si>
  <si>
    <t>Control risk (Step-4)</t>
  </si>
  <si>
    <t>Combination</t>
  </si>
  <si>
    <t>Resulting audit risk for substantive sampling</t>
  </si>
  <si>
    <t>Resulting auditor confidence level</t>
  </si>
  <si>
    <t>High 90%</t>
  </si>
  <si>
    <t>Medium 75%</t>
  </si>
  <si>
    <t>Low 50%</t>
  </si>
  <si>
    <t>Sample size calculator</t>
  </si>
  <si>
    <t>Inherent risk</t>
  </si>
  <si>
    <t>Audit risk</t>
  </si>
  <si>
    <t>Key Items 
Testing</t>
  </si>
  <si>
    <t>Asset/ Income</t>
  </si>
  <si>
    <t>Liability / Expenses</t>
  </si>
  <si>
    <t>50% - 75%</t>
  </si>
  <si>
    <t>15% - 25%</t>
  </si>
  <si>
    <t>25% - 50%</t>
  </si>
  <si>
    <t>10% - 15%</t>
  </si>
  <si>
    <t>10% - 25%</t>
  </si>
  <si>
    <t>5% - 10%</t>
  </si>
  <si>
    <t>Total population size</t>
  </si>
  <si>
    <t>Testing Threshold %</t>
  </si>
  <si>
    <t>Testing Threshold</t>
  </si>
  <si>
    <t>No of Key Items</t>
  </si>
  <si>
    <t>Key items testing</t>
  </si>
  <si>
    <t>Balance population size</t>
  </si>
  <si>
    <t>TM %</t>
  </si>
  <si>
    <t>Lower Range</t>
  </si>
  <si>
    <t>Upper Range</t>
  </si>
  <si>
    <t>Gap</t>
  </si>
  <si>
    <t>No of random samples</t>
  </si>
  <si>
    <t>Total Samples</t>
  </si>
  <si>
    <t>A. Statistical sampling</t>
  </si>
  <si>
    <t>Ratio  of expected error to tolerable misstatement</t>
  </si>
  <si>
    <t>Tolerable misstatement as % of population 
(Performance materiality/Value of population less individual items selected)</t>
  </si>
  <si>
    <t>Confidence level</t>
  </si>
  <si>
    <t>Note: For Ratio of expected error different from 5% see Appendix 4 of PKFI Guidance on audit sampling</t>
  </si>
  <si>
    <t>Tolerable misstatement can be reduced up to 65% of performance materiality considering 
a) expected total factual and projected misstatements; 
b) management attitude towards proposed adjustments; 
c) disaggregation risks from various locations where separate procedures applied; 
d) requirements for estimation; 
e) portion of account/area included in test (7.4)</t>
  </si>
  <si>
    <t>B. Non- Statistical sampling(Haphazard)</t>
  </si>
  <si>
    <t>&lt;50%</t>
  </si>
  <si>
    <t>Note: For Ratio of expected error different from 5% see Appendix 5 of PKFI Guidance on audit sampling</t>
  </si>
  <si>
    <t>Date</t>
  </si>
  <si>
    <t>Log of Numerator</t>
  </si>
  <si>
    <t>Time</t>
  </si>
  <si>
    <t>Log of Denominator</t>
  </si>
  <si>
    <t>Probability of getting error</t>
  </si>
  <si>
    <t>Selection of samples as per PKF sampling methodology</t>
  </si>
  <si>
    <t>Total No. of pages to print</t>
  </si>
  <si>
    <t>Performance Materiality</t>
  </si>
  <si>
    <t>Total count in population</t>
  </si>
  <si>
    <t>Likelihood</t>
  </si>
  <si>
    <t>* As per Professional Judgement</t>
  </si>
  <si>
    <t>Inherent Risk</t>
  </si>
  <si>
    <t>Sr. No.</t>
  </si>
  <si>
    <t>Sample No.</t>
  </si>
  <si>
    <t>Error</t>
  </si>
  <si>
    <t>Control Risk</t>
  </si>
  <si>
    <t>* As per understanding of entity's control environment</t>
  </si>
  <si>
    <t>Audit Risk</t>
  </si>
  <si>
    <t>Confidence Interval</t>
  </si>
  <si>
    <t>Population Value</t>
  </si>
  <si>
    <t>*Value of remaining population</t>
  </si>
  <si>
    <t>Tolerable Misstatement</t>
  </si>
  <si>
    <t>Ratio of Expected Error</t>
  </si>
  <si>
    <t>No. of Samples</t>
  </si>
  <si>
    <t>Automated</t>
  </si>
  <si>
    <t>Likelihood &amp; Magnitude :-</t>
  </si>
  <si>
    <r>
      <rPr>
        <b/>
        <sz val="10"/>
        <color theme="1"/>
        <rFont val="Aptos Narrow"/>
        <family val="2"/>
        <scheme val="minor"/>
      </rPr>
      <t xml:space="preserve">Likelihood </t>
    </r>
    <r>
      <rPr>
        <sz val="10"/>
        <color theme="1"/>
        <rFont val="Aptos Narrow"/>
        <family val="2"/>
        <scheme val="minor"/>
      </rPr>
      <t>is ranked from low to significant using professional judgment and a proper understanding of the entity on the following basis:</t>
    </r>
  </si>
  <si>
    <t>• Low: Where the probability of an occurrence of a material misstatement is unlikely;</t>
  </si>
  <si>
    <t>• Medium: Where the probability of an occurrence of a material misstatement is likely; or</t>
  </si>
  <si>
    <t>• High/Significant: Where the probability of an occurrence of a material misstatement is assessed likely and one of the factors is/are present:</t>
  </si>
  <si>
    <t>o The risk is a risk of fraud;</t>
  </si>
  <si>
    <t>o The risk is related to recent significant economic, accounting or other developments and therefore, requires specific attention;</t>
  </si>
  <si>
    <t>o Complexity of transactions;</t>
  </si>
  <si>
    <t>o The risk involves material, either quantitative or qualitative, transactions with related parties;</t>
  </si>
  <si>
    <t>o The degree of subjectivity in the measurement of financial information related to the risk, especially those measurements involving a wide range of measurement uncertainty; and</t>
  </si>
  <si>
    <t>o The risk involves significant transactions that are outside the normal course of business for the entity, or that otherwise appear to be unusual.</t>
  </si>
  <si>
    <r>
      <rPr>
        <b/>
        <sz val="10"/>
        <color theme="1"/>
        <rFont val="Aptos Narrow"/>
        <family val="2"/>
        <scheme val="minor"/>
      </rPr>
      <t xml:space="preserve">Magnitude </t>
    </r>
    <r>
      <rPr>
        <sz val="10"/>
        <color theme="1"/>
        <rFont val="Aptos Narrow"/>
        <family val="2"/>
        <scheme val="minor"/>
      </rPr>
      <t>is ranked from low to significant using the following basis:</t>
    </r>
  </si>
  <si>
    <t>• Low: Population to be sampled is below 50% of performance materiality;</t>
  </si>
  <si>
    <t>• Medium: Population to be sampled is above 50% but below 80% of performance materiality; or</t>
  </si>
  <si>
    <t>• High/Significant: Population to be sampled is above 80% of performance materiality.</t>
  </si>
  <si>
    <t>Inherent risk*</t>
  </si>
  <si>
    <t>Control risk**</t>
  </si>
  <si>
    <t>Resulting Audit Risk</t>
  </si>
  <si>
    <t>Confidence Level</t>
  </si>
  <si>
    <t>High (90%)</t>
  </si>
  <si>
    <t>Medium (75%)</t>
  </si>
  <si>
    <t>Low (50%)</t>
  </si>
  <si>
    <r>
      <rPr>
        <b/>
        <sz val="10"/>
        <color rgb="FFFF0000"/>
        <rFont val="Aptos Narrow"/>
        <family val="2"/>
        <scheme val="minor"/>
      </rPr>
      <t>*</t>
    </r>
    <r>
      <rPr>
        <sz val="10"/>
        <color rgb="FFFF0000"/>
        <rFont val="Aptos Narrow"/>
        <family val="2"/>
        <scheme val="minor"/>
      </rPr>
      <t xml:space="preserve"> </t>
    </r>
    <r>
      <rPr>
        <b/>
        <u/>
        <sz val="10"/>
        <color theme="1"/>
        <rFont val="Aptos Narrow"/>
        <family val="2"/>
        <scheme val="minor"/>
      </rPr>
      <t>Assessing Inherent Risk :-</t>
    </r>
  </si>
  <si>
    <t>Likelihood of Material</t>
  </si>
  <si>
    <t>Misstatement</t>
  </si>
  <si>
    <t>Confidence Factors for sample size design:- (tolerable misstatement is not &gt;50% to PM)</t>
  </si>
  <si>
    <t>Ratio of Expected Error to</t>
  </si>
  <si>
    <t>Confidence Factors for sample size design:- (tolerable misstatement is  &gt;50% to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</si>
</sst>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i/>
      <sz val="11"/>
      <color theme="1"/>
      <name val="Aptos Narrow"/>
      <family val="2"/>
    </font>
    <font>
      <b/>
      <sz val="10"/>
      <color rgb="FF000000"/>
      <name val="Calibri"/>
      <family val="2"/>
    </font>
    <font>
      <sz val="10"/>
      <color theme="1"/>
      <name val="Book Antiqua"/>
      <family val="2"/>
    </font>
    <font>
      <b/>
      <i/>
      <sz val="15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rgb="FFFF0000"/>
      <name val="Garamond"/>
      <family val="1"/>
    </font>
    <font>
      <b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wrapText="1"/>
    </xf>
    <xf numFmtId="0" fontId="4" fillId="2" borderId="0" xfId="1" applyFont="1" applyFill="1"/>
    <xf numFmtId="0" fontId="4" fillId="3" borderId="0" xfId="1" applyFont="1" applyFill="1"/>
    <xf numFmtId="0" fontId="5" fillId="0" borderId="0" xfId="1" applyFont="1"/>
    <xf numFmtId="0" fontId="6" fillId="0" borderId="0" xfId="1" applyFont="1"/>
    <xf numFmtId="164" fontId="4" fillId="0" borderId="0" xfId="1" applyNumberFormat="1" applyFont="1" applyAlignment="1">
      <alignment wrapText="1"/>
    </xf>
    <xf numFmtId="165" fontId="4" fillId="3" borderId="0" xfId="2" applyNumberFormat="1" applyFont="1" applyFill="1" applyBorder="1"/>
    <xf numFmtId="165" fontId="4" fillId="0" borderId="0" xfId="2" applyNumberFormat="1" applyFont="1" applyFill="1" applyBorder="1"/>
    <xf numFmtId="0" fontId="5" fillId="0" borderId="0" xfId="1" applyFont="1" applyAlignment="1">
      <alignment horizontal="center"/>
    </xf>
    <xf numFmtId="0" fontId="4" fillId="4" borderId="1" xfId="1" applyFont="1" applyFill="1" applyBorder="1"/>
    <xf numFmtId="165" fontId="4" fillId="4" borderId="1" xfId="2" applyNumberFormat="1" applyFont="1" applyFill="1" applyBorder="1"/>
    <xf numFmtId="165" fontId="4" fillId="0" borderId="0" xfId="2" applyNumberFormat="1" applyFont="1" applyBorder="1"/>
    <xf numFmtId="0" fontId="4" fillId="5" borderId="1" xfId="1" applyFont="1" applyFill="1" applyBorder="1"/>
    <xf numFmtId="165" fontId="4" fillId="5" borderId="1" xfId="2" applyNumberFormat="1" applyFont="1" applyFill="1" applyBorder="1"/>
    <xf numFmtId="0" fontId="4" fillId="6" borderId="1" xfId="1" applyFont="1" applyFill="1" applyBorder="1"/>
    <xf numFmtId="165" fontId="4" fillId="6" borderId="1" xfId="2" applyNumberFormat="1" applyFont="1" applyFill="1" applyBorder="1"/>
    <xf numFmtId="0" fontId="4" fillId="7" borderId="0" xfId="1" applyFont="1" applyFill="1"/>
    <xf numFmtId="0" fontId="5" fillId="7" borderId="0" xfId="1" applyFont="1" applyFill="1"/>
    <xf numFmtId="0" fontId="5" fillId="8" borderId="1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 wrapText="1"/>
    </xf>
    <xf numFmtId="0" fontId="4" fillId="7" borderId="0" xfId="1" applyFont="1" applyFill="1" applyAlignment="1">
      <alignment wrapText="1"/>
    </xf>
    <xf numFmtId="0" fontId="4" fillId="3" borderId="0" xfId="1" applyFont="1" applyFill="1" applyAlignment="1">
      <alignment horizontal="center"/>
    </xf>
    <xf numFmtId="0" fontId="5" fillId="8" borderId="1" xfId="1" applyFont="1" applyFill="1" applyBorder="1" applyAlignment="1">
      <alignment horizontal="center"/>
    </xf>
    <xf numFmtId="0" fontId="4" fillId="0" borderId="1" xfId="1" applyFont="1" applyBorder="1"/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/>
    <xf numFmtId="0" fontId="4" fillId="0" borderId="3" xfId="1" applyFont="1" applyBorder="1"/>
    <xf numFmtId="165" fontId="4" fillId="0" borderId="1" xfId="2" applyNumberFormat="1" applyFont="1" applyFill="1" applyBorder="1"/>
    <xf numFmtId="165" fontId="4" fillId="3" borderId="1" xfId="2" applyNumberFormat="1" applyFont="1" applyFill="1" applyBorder="1"/>
    <xf numFmtId="9" fontId="4" fillId="3" borderId="1" xfId="2" applyNumberFormat="1" applyFont="1" applyFill="1" applyBorder="1"/>
    <xf numFmtId="165" fontId="4" fillId="3" borderId="1" xfId="1" applyNumberFormat="1" applyFont="1" applyFill="1" applyBorder="1"/>
    <xf numFmtId="9" fontId="4" fillId="0" borderId="1" xfId="1" applyNumberFormat="1" applyFont="1" applyBorder="1"/>
    <xf numFmtId="3" fontId="4" fillId="0" borderId="1" xfId="1" applyNumberFormat="1" applyFont="1" applyBorder="1"/>
    <xf numFmtId="0" fontId="5" fillId="0" borderId="1" xfId="1" applyFont="1" applyBorder="1"/>
    <xf numFmtId="3" fontId="5" fillId="0" borderId="1" xfId="1" applyNumberFormat="1" applyFont="1" applyBorder="1"/>
    <xf numFmtId="3" fontId="4" fillId="0" borderId="0" xfId="1" applyNumberFormat="1" applyFont="1"/>
    <xf numFmtId="165" fontId="4" fillId="0" borderId="0" xfId="2" applyNumberFormat="1" applyFont="1"/>
    <xf numFmtId="9" fontId="5" fillId="8" borderId="1" xfId="1" applyNumberFormat="1" applyFont="1" applyFill="1" applyBorder="1" applyAlignment="1">
      <alignment horizontal="center" wrapText="1"/>
    </xf>
    <xf numFmtId="0" fontId="4" fillId="8" borderId="1" xfId="1" applyFont="1" applyFill="1" applyBorder="1"/>
    <xf numFmtId="9" fontId="5" fillId="8" borderId="1" xfId="1" quotePrefix="1" applyNumberFormat="1" applyFont="1" applyFill="1" applyBorder="1" applyAlignment="1">
      <alignment horizontal="center" vertical="center"/>
    </xf>
    <xf numFmtId="9" fontId="5" fillId="8" borderId="1" xfId="1" applyNumberFormat="1" applyFont="1" applyFill="1" applyBorder="1" applyAlignment="1">
      <alignment horizontal="center" vertical="center"/>
    </xf>
    <xf numFmtId="10" fontId="5" fillId="8" borderId="1" xfId="1" applyNumberFormat="1" applyFont="1" applyFill="1" applyBorder="1" applyAlignment="1">
      <alignment horizontal="center" vertical="center"/>
    </xf>
    <xf numFmtId="9" fontId="5" fillId="8" borderId="1" xfId="1" applyNumberFormat="1" applyFont="1" applyFill="1" applyBorder="1" applyAlignment="1">
      <alignment horizontal="center"/>
    </xf>
    <xf numFmtId="0" fontId="5" fillId="8" borderId="1" xfId="1" quotePrefix="1" applyFont="1" applyFill="1" applyBorder="1" applyAlignment="1">
      <alignment horizontal="center" vertical="center"/>
    </xf>
    <xf numFmtId="0" fontId="9" fillId="0" borderId="0" xfId="3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3" applyFont="1" applyProtection="1">
      <protection locked="0"/>
    </xf>
    <xf numFmtId="0" fontId="12" fillId="0" borderId="0" xfId="3" applyFont="1" applyProtection="1">
      <protection locked="0"/>
    </xf>
    <xf numFmtId="15" fontId="10" fillId="0" borderId="0" xfId="1" applyNumberFormat="1" applyFont="1" applyProtection="1">
      <protection locked="0"/>
    </xf>
    <xf numFmtId="0" fontId="13" fillId="7" borderId="0" xfId="1" applyFont="1" applyFill="1"/>
    <xf numFmtId="164" fontId="13" fillId="7" borderId="0" xfId="4" applyFont="1" applyFill="1" applyProtection="1"/>
    <xf numFmtId="9" fontId="10" fillId="0" borderId="0" xfId="5" applyFont="1" applyProtection="1">
      <protection locked="0"/>
    </xf>
    <xf numFmtId="20" fontId="10" fillId="0" borderId="0" xfId="1" applyNumberFormat="1" applyFont="1" applyProtection="1">
      <protection locked="0"/>
    </xf>
    <xf numFmtId="164" fontId="10" fillId="0" borderId="0" xfId="1" applyNumberFormat="1" applyFont="1" applyProtection="1">
      <protection locked="0"/>
    </xf>
    <xf numFmtId="0" fontId="14" fillId="0" borderId="0" xfId="1" applyFont="1"/>
    <xf numFmtId="10" fontId="14" fillId="0" borderId="0" xfId="5" applyNumberFormat="1" applyFont="1" applyAlignment="1" applyProtection="1">
      <alignment horizontal="right"/>
    </xf>
    <xf numFmtId="0" fontId="15" fillId="0" borderId="0" xfId="3" applyFont="1" applyProtection="1">
      <protection locked="0"/>
    </xf>
    <xf numFmtId="0" fontId="16" fillId="0" borderId="0" xfId="3" applyFont="1" applyProtection="1">
      <protection locked="0"/>
    </xf>
    <xf numFmtId="0" fontId="17" fillId="0" borderId="0" xfId="3" applyFont="1" applyProtection="1">
      <protection locked="0"/>
    </xf>
    <xf numFmtId="0" fontId="14" fillId="0" borderId="0" xfId="1" applyFont="1" applyProtection="1">
      <protection locked="0"/>
    </xf>
    <xf numFmtId="166" fontId="14" fillId="0" borderId="0" xfId="1" applyNumberFormat="1" applyFont="1"/>
    <xf numFmtId="0" fontId="14" fillId="0" borderId="2" xfId="1" applyFont="1" applyBorder="1" applyProtection="1">
      <protection locked="0"/>
    </xf>
    <xf numFmtId="0" fontId="18" fillId="9" borderId="0" xfId="1" applyFont="1" applyFill="1" applyProtection="1">
      <protection locked="0"/>
    </xf>
    <xf numFmtId="165" fontId="14" fillId="9" borderId="0" xfId="4" applyNumberFormat="1" applyFont="1" applyFill="1" applyProtection="1">
      <protection locked="0"/>
    </xf>
    <xf numFmtId="0" fontId="12" fillId="0" borderId="0" xfId="3" applyFont="1" applyAlignment="1" applyProtection="1">
      <alignment horizontal="right"/>
      <protection locked="0"/>
    </xf>
    <xf numFmtId="0" fontId="10" fillId="0" borderId="4" xfId="1" applyFont="1" applyBorder="1" applyProtection="1">
      <protection locked="0"/>
    </xf>
    <xf numFmtId="0" fontId="19" fillId="0" borderId="0" xfId="1" applyFont="1" applyProtection="1">
      <protection locked="0"/>
    </xf>
    <xf numFmtId="0" fontId="20" fillId="0" borderId="0" xfId="1" applyFont="1" applyProtection="1">
      <protection locked="0"/>
    </xf>
    <xf numFmtId="0" fontId="19" fillId="0" borderId="0" xfId="1" applyFont="1" applyAlignment="1" applyProtection="1">
      <alignment horizontal="right"/>
      <protection locked="0"/>
    </xf>
    <xf numFmtId="0" fontId="14" fillId="0" borderId="0" xfId="1" applyFont="1" applyAlignment="1">
      <alignment horizontal="right"/>
    </xf>
    <xf numFmtId="0" fontId="10" fillId="0" borderId="5" xfId="1" applyFont="1" applyBorder="1" applyProtection="1">
      <protection locked="0"/>
    </xf>
    <xf numFmtId="0" fontId="10" fillId="0" borderId="6" xfId="1" applyFont="1" applyBorder="1"/>
    <xf numFmtId="0" fontId="14" fillId="0" borderId="5" xfId="1" applyFont="1" applyBorder="1" applyProtection="1">
      <protection locked="0"/>
    </xf>
    <xf numFmtId="0" fontId="14" fillId="0" borderId="6" xfId="1" applyFont="1" applyBorder="1"/>
    <xf numFmtId="0" fontId="21" fillId="0" borderId="0" xfId="1" applyFont="1"/>
    <xf numFmtId="0" fontId="10" fillId="0" borderId="0" xfId="1" applyFont="1"/>
    <xf numFmtId="0" fontId="2" fillId="0" borderId="0" xfId="3" applyFont="1"/>
    <xf numFmtId="0" fontId="14" fillId="0" borderId="7" xfId="1" applyFont="1" applyBorder="1" applyProtection="1">
      <protection locked="0"/>
    </xf>
    <xf numFmtId="0" fontId="14" fillId="0" borderId="8" xfId="1" applyFont="1" applyBorder="1"/>
    <xf numFmtId="0" fontId="14" fillId="0" borderId="3" xfId="1" applyFont="1" applyBorder="1"/>
    <xf numFmtId="10" fontId="14" fillId="0" borderId="6" xfId="7" applyNumberFormat="1" applyFont="1" applyBorder="1" applyProtection="1"/>
    <xf numFmtId="0" fontId="14" fillId="10" borderId="2" xfId="1" applyFont="1" applyFill="1" applyBorder="1" applyProtection="1">
      <protection locked="0"/>
    </xf>
    <xf numFmtId="166" fontId="14" fillId="10" borderId="3" xfId="1" applyNumberFormat="1" applyFont="1" applyFill="1" applyBorder="1"/>
    <xf numFmtId="0" fontId="22" fillId="0" borderId="0" xfId="1" applyFont="1" applyProtection="1">
      <protection locked="0"/>
    </xf>
    <xf numFmtId="0" fontId="10" fillId="0" borderId="0" xfId="1" applyFont="1" applyAlignment="1" applyProtection="1">
      <alignment horizontal="left" indent="3"/>
      <protection locked="0"/>
    </xf>
    <xf numFmtId="0" fontId="10" fillId="0" borderId="0" xfId="1" applyFont="1" applyAlignment="1" applyProtection="1">
      <alignment horizontal="left" indent="7"/>
      <protection locked="0"/>
    </xf>
    <xf numFmtId="0" fontId="21" fillId="11" borderId="9" xfId="1" applyFont="1" applyFill="1" applyBorder="1" applyAlignment="1">
      <alignment horizontal="center" wrapText="1"/>
    </xf>
    <xf numFmtId="0" fontId="21" fillId="11" borderId="10" xfId="1" applyFont="1" applyFill="1" applyBorder="1" applyAlignment="1">
      <alignment horizontal="center" wrapText="1"/>
    </xf>
    <xf numFmtId="0" fontId="21" fillId="11" borderId="11" xfId="1" applyFont="1" applyFill="1" applyBorder="1" applyAlignment="1">
      <alignment horizontal="center" wrapText="1"/>
    </xf>
    <xf numFmtId="0" fontId="14" fillId="9" borderId="12" xfId="1" applyFont="1" applyFill="1" applyBorder="1"/>
    <xf numFmtId="0" fontId="10" fillId="0" borderId="13" xfId="1" applyFont="1" applyBorder="1"/>
    <xf numFmtId="0" fontId="10" fillId="0" borderId="14" xfId="1" applyFont="1" applyBorder="1"/>
    <xf numFmtId="0" fontId="14" fillId="9" borderId="15" xfId="1" applyFont="1" applyFill="1" applyBorder="1"/>
    <xf numFmtId="0" fontId="10" fillId="0" borderId="1" xfId="1" applyFont="1" applyBorder="1"/>
    <xf numFmtId="0" fontId="10" fillId="0" borderId="16" xfId="1" applyFont="1" applyBorder="1"/>
    <xf numFmtId="0" fontId="14" fillId="9" borderId="17" xfId="1" applyFont="1" applyFill="1" applyBorder="1"/>
    <xf numFmtId="0" fontId="10" fillId="0" borderId="18" xfId="1" applyFont="1" applyBorder="1"/>
    <xf numFmtId="0" fontId="10" fillId="0" borderId="19" xfId="1" applyFont="1" applyBorder="1"/>
    <xf numFmtId="0" fontId="21" fillId="11" borderId="20" xfId="1" applyFont="1" applyFill="1" applyBorder="1" applyAlignment="1">
      <alignment wrapText="1"/>
    </xf>
    <xf numFmtId="0" fontId="21" fillId="11" borderId="21" xfId="1" applyFont="1" applyFill="1" applyBorder="1" applyAlignment="1">
      <alignment wrapText="1"/>
    </xf>
    <xf numFmtId="0" fontId="14" fillId="9" borderId="9" xfId="1" applyFont="1" applyFill="1" applyBorder="1" applyAlignment="1">
      <alignment horizontal="center"/>
    </xf>
    <xf numFmtId="0" fontId="14" fillId="9" borderId="10" xfId="1" applyFont="1" applyFill="1" applyBorder="1" applyAlignment="1">
      <alignment horizontal="center"/>
    </xf>
    <xf numFmtId="0" fontId="14" fillId="9" borderId="11" xfId="1" applyFont="1" applyFill="1" applyBorder="1" applyAlignment="1">
      <alignment horizontal="center"/>
    </xf>
    <xf numFmtId="0" fontId="14" fillId="9" borderId="22" xfId="1" applyFont="1" applyFill="1" applyBorder="1"/>
    <xf numFmtId="0" fontId="10" fillId="0" borderId="23" xfId="1" applyFont="1" applyBorder="1"/>
    <xf numFmtId="0" fontId="14" fillId="9" borderId="24" xfId="1" applyFont="1" applyFill="1" applyBorder="1"/>
    <xf numFmtId="0" fontId="10" fillId="0" borderId="3" xfId="1" applyFont="1" applyBorder="1"/>
    <xf numFmtId="0" fontId="14" fillId="9" borderId="25" xfId="1" applyFont="1" applyFill="1" applyBorder="1"/>
    <xf numFmtId="0" fontId="10" fillId="0" borderId="26" xfId="1" applyFont="1" applyBorder="1"/>
    <xf numFmtId="166" fontId="10" fillId="0" borderId="0" xfId="6" applyNumberFormat="1" applyFont="1" applyBorder="1" applyProtection="1">
      <protection locked="0"/>
    </xf>
    <xf numFmtId="10" fontId="14" fillId="0" borderId="0" xfId="7" applyNumberFormat="1" applyFont="1" applyBorder="1" applyProtection="1">
      <protection locked="0"/>
    </xf>
    <xf numFmtId="9" fontId="14" fillId="0" borderId="0" xfId="1" applyNumberFormat="1" applyFont="1" applyAlignment="1" applyProtection="1">
      <alignment horizontal="right"/>
      <protection locked="0"/>
    </xf>
    <xf numFmtId="0" fontId="22" fillId="0" borderId="0" xfId="1" applyFont="1"/>
    <xf numFmtId="0" fontId="14" fillId="9" borderId="10" xfId="1" applyFont="1" applyFill="1" applyBorder="1"/>
    <xf numFmtId="0" fontId="14" fillId="9" borderId="11" xfId="1" applyFont="1" applyFill="1" applyBorder="1"/>
    <xf numFmtId="9" fontId="14" fillId="9" borderId="27" xfId="5" applyFont="1" applyFill="1" applyBorder="1" applyAlignment="1" applyProtection="1">
      <alignment horizontal="center" vertical="center"/>
    </xf>
    <xf numFmtId="0" fontId="10" fillId="0" borderId="8" xfId="1" applyFont="1" applyBorder="1"/>
    <xf numFmtId="0" fontId="10" fillId="0" borderId="28" xfId="1" applyFont="1" applyBorder="1"/>
    <xf numFmtId="0" fontId="10" fillId="0" borderId="29" xfId="1" applyFont="1" applyBorder="1"/>
    <xf numFmtId="9" fontId="14" fillId="9" borderId="21" xfId="5" applyFont="1" applyFill="1" applyBorder="1" applyAlignment="1" applyProtection="1">
      <alignment horizontal="center" vertical="center"/>
    </xf>
    <xf numFmtId="9" fontId="14" fillId="0" borderId="0" xfId="5" applyFont="1" applyFill="1" applyBorder="1" applyAlignment="1" applyProtection="1">
      <alignment horizontal="center" vertical="center"/>
      <protection locked="0"/>
    </xf>
    <xf numFmtId="164" fontId="10" fillId="0" borderId="8" xfId="4" applyFont="1" applyBorder="1" applyProtection="1"/>
    <xf numFmtId="164" fontId="10" fillId="0" borderId="30" xfId="4" applyFont="1" applyBorder="1" applyProtection="1"/>
    <xf numFmtId="164" fontId="10" fillId="0" borderId="31" xfId="4" applyFont="1" applyBorder="1" applyProtection="1"/>
    <xf numFmtId="164" fontId="10" fillId="0" borderId="32" xfId="4" applyFont="1" applyBorder="1" applyProtection="1"/>
    <xf numFmtId="164" fontId="10" fillId="0" borderId="0" xfId="4" applyFont="1" applyBorder="1" applyProtection="1">
      <protection locked="0"/>
    </xf>
    <xf numFmtId="0" fontId="2" fillId="0" borderId="0" xfId="3" applyFont="1" applyProtection="1">
      <protection locked="0"/>
    </xf>
    <xf numFmtId="165" fontId="4" fillId="3" borderId="0" xfId="2" applyNumberFormat="1" applyFont="1" applyFill="1" applyBorder="1" applyProtection="1">
      <protection locked="0"/>
    </xf>
    <xf numFmtId="0" fontId="21" fillId="11" borderId="9" xfId="1" applyFont="1" applyFill="1" applyBorder="1" applyAlignment="1">
      <alignment horizontal="center"/>
    </xf>
    <xf numFmtId="0" fontId="21" fillId="11" borderId="10" xfId="1" applyFont="1" applyFill="1" applyBorder="1" applyAlignment="1">
      <alignment horizontal="center"/>
    </xf>
    <xf numFmtId="0" fontId="21" fillId="11" borderId="1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wrapText="1"/>
    </xf>
    <xf numFmtId="0" fontId="4" fillId="0" borderId="0" xfId="1" applyFont="1" applyAlignment="1">
      <alignment wrapText="1"/>
    </xf>
    <xf numFmtId="0" fontId="4" fillId="0" borderId="1" xfId="1" applyFont="1" applyBorder="1" applyAlignment="1">
      <alignment horizontal="center" wrapText="1"/>
    </xf>
    <xf numFmtId="0" fontId="4" fillId="4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/>
    </xf>
    <xf numFmtId="0" fontId="4" fillId="6" borderId="1" xfId="1" applyFont="1" applyFill="1" applyBorder="1" applyAlignment="1">
      <alignment vertical="center"/>
    </xf>
    <xf numFmtId="0" fontId="5" fillId="8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</cellXfs>
  <cellStyles count="8">
    <cellStyle name="Comma 2" xfId="4" xr:uid="{739C2729-0647-4D12-A8A3-336AFF7F03C2}"/>
    <cellStyle name="Comma 2 2" xfId="2" xr:uid="{95331BB0-3B9F-46FF-B3A2-3F3FD9129ADA}"/>
    <cellStyle name="Comma 2 3" xfId="6" xr:uid="{05112E5E-78D8-4A9A-8ED4-646048968C16}"/>
    <cellStyle name="Normal" xfId="0" builtinId="0"/>
    <cellStyle name="Normal 2" xfId="3" xr:uid="{0F0C4BB4-21A4-4088-976F-C60BFED971AA}"/>
    <cellStyle name="Normal 2 2" xfId="1" xr:uid="{B2C66137-CBE3-4874-B049-E38D30893C44}"/>
    <cellStyle name="Percent 2" xfId="5" xr:uid="{DCB66E13-6D3A-4C92-AC69-CA905D277DD7}"/>
    <cellStyle name="Percent 2 2" xfId="7" xr:uid="{5638CAEB-9033-49C5-894B-C279D38495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393700</xdr:colOff>
          <xdr:row>8</xdr:row>
          <xdr:rowOff>31750</xdr:rowOff>
        </xdr:from>
        <xdr:to>
          <xdr:col>7</xdr:col>
          <xdr:colOff>133350</xdr:colOff>
          <xdr:row>10</xdr:row>
          <xdr:rowOff>146050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Generate samples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kfllp.sharepoint.com/sites/ChennaiAudit/Shared%20Documents/Audit%20Division-Chennai/Statutory%20Audit/Indian%20Additives/Statutory%20audit/FY%202024-2025/E%20Assurance/E220%20Trade%20Payables/E220.1%20Workpapers/E220.1.1%20Confirmation%20Sampling/E220.1.1%20Payables%20Sampling.xlsx" TargetMode="External"/><Relationship Id="rId2" Type="http://schemas.microsoft.com/office/2019/04/relationships/externalLinkLongPath" Target="https://pkfllp.sharepoint.com/sites/ChennaiAudit/Shared%20Documents/Audit%20Division-Chennai/Statutory%20Audit/Indian%20Additives/Statutory%20audit/FY%202024-2025/E%20Assurance/E220%20Trade%20Payables/E220.1%20Workpapers/E220.1.1%20Confirmation%20Sampling/E220.1.1%20Payables%20Sampling.xlsx?4BE6586E" TargetMode="External"/><Relationship Id="rId1" Type="http://schemas.openxmlformats.org/officeDocument/2006/relationships/externalLinkPath" Target="file:///\\4BE6586E\E220.1.1%20Payables%20Sampl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kfllp.sharepoint.com/sites/ChennaiAudit/Shared%20Documents/Audit%20Division-Chennai/Statutory%20Audit/Indian%20Additives/Statutory%20audit/FY%202023-2024/E%20Assurance/E110%20Cost%20of%20Consumption/E110.1%20Substantive%20finsl.xlsx" TargetMode="External"/><Relationship Id="rId1" Type="http://schemas.openxmlformats.org/officeDocument/2006/relationships/externalLinkPath" Target="https://pkfllp.sharepoint.com/sites/ChennaiAudit/Shared%20Documents/Audit%20Division-Chennai/Statutory%20Audit/Indian%20Additives/Statutory%20audit/FY%202023-2024/E%20Assurance/E110%20Cost%20of%20Consumption/E110.1%20Substantive%20fins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"/>
      <sheetName val="Final Samples for Confirmation"/>
      <sheetName val="PKF Sampling_Payable_Local"/>
      <sheetName val="PKF Sampling_Payable_Imports"/>
      <sheetName val="PKF Sampling_Payable_Advances"/>
      <sheetName val="Random Sampling_Local"/>
      <sheetName val="Random Sampling_Imports"/>
      <sheetName val="Random Sampling_Advances"/>
      <sheetName val="Payables Listing"/>
      <sheetName val="Advances Listing"/>
      <sheetName val="PBC"/>
      <sheetName val="DS_INTERNAL_SNIP_STORAGE"/>
      <sheetName val="DS_INTERNAL_SETTINGS_STORAGE"/>
      <sheetName val="DS_INTERNAL_DOCGROUP_STORAGE"/>
      <sheetName val="DS_INTERNAL_DOCUMENT_STORAGE"/>
      <sheetName val="GL Dump"/>
    </sheetNames>
    <sheetDataSet>
      <sheetData sheetId="0"/>
      <sheetData sheetId="1"/>
      <sheetData sheetId="2"/>
      <sheetData sheetId="3"/>
      <sheetData sheetId="4"/>
      <sheetData sheetId="5">
        <row r="73">
          <cell r="A73" t="str">
            <v>Ratio of Expected Error to</v>
          </cell>
          <cell r="B73" t="str">
            <v>Confidence Interval</v>
          </cell>
        </row>
        <row r="74">
          <cell r="A74" t="str">
            <v>Tolerable Misstatement</v>
          </cell>
          <cell r="B74" t="str">
            <v>High (90%)</v>
          </cell>
          <cell r="C74" t="str">
            <v>Medium (75%)</v>
          </cell>
          <cell r="D74" t="str">
            <v>Low (50%)</v>
          </cell>
        </row>
        <row r="75">
          <cell r="A75">
            <v>0</v>
          </cell>
          <cell r="B75">
            <v>2.31</v>
          </cell>
          <cell r="C75">
            <v>1.39</v>
          </cell>
          <cell r="D75">
            <v>0.7</v>
          </cell>
        </row>
        <row r="76">
          <cell r="A76">
            <v>0.05</v>
          </cell>
          <cell r="B76">
            <v>2.52</v>
          </cell>
          <cell r="C76">
            <v>1.49</v>
          </cell>
          <cell r="D76">
            <v>0.73</v>
          </cell>
        </row>
        <row r="77">
          <cell r="A77">
            <v>0.1</v>
          </cell>
          <cell r="B77">
            <v>2.77</v>
          </cell>
          <cell r="C77">
            <v>1.61</v>
          </cell>
          <cell r="D77">
            <v>0.77</v>
          </cell>
        </row>
        <row r="78">
          <cell r="A78">
            <v>0.15</v>
          </cell>
          <cell r="B78">
            <v>3.07</v>
          </cell>
          <cell r="C78">
            <v>1.74</v>
          </cell>
          <cell r="D78">
            <v>0.82</v>
          </cell>
        </row>
        <row r="79">
          <cell r="A79">
            <v>0.2</v>
          </cell>
          <cell r="B79">
            <v>3.41</v>
          </cell>
          <cell r="C79">
            <v>1.9</v>
          </cell>
          <cell r="D79">
            <v>0.87</v>
          </cell>
        </row>
        <row r="80">
          <cell r="A80">
            <v>0.25</v>
          </cell>
          <cell r="B80">
            <v>3.83</v>
          </cell>
          <cell r="C80">
            <v>2.09</v>
          </cell>
          <cell r="D80">
            <v>0.92</v>
          </cell>
        </row>
        <row r="81">
          <cell r="A81">
            <v>0.3</v>
          </cell>
          <cell r="B81">
            <v>4.33</v>
          </cell>
          <cell r="C81">
            <v>2.2999999999999998</v>
          </cell>
          <cell r="D81">
            <v>0.99</v>
          </cell>
        </row>
        <row r="82">
          <cell r="A82">
            <v>0.35</v>
          </cell>
          <cell r="B82">
            <v>4.95</v>
          </cell>
          <cell r="C82">
            <v>2.57</v>
          </cell>
          <cell r="D82">
            <v>1.06</v>
          </cell>
        </row>
        <row r="83">
          <cell r="A83">
            <v>0.4</v>
          </cell>
          <cell r="B83">
            <v>5.72</v>
          </cell>
          <cell r="C83">
            <v>2.89</v>
          </cell>
          <cell r="D83">
            <v>1.1399999999999999</v>
          </cell>
        </row>
        <row r="84">
          <cell r="A84">
            <v>0.45</v>
          </cell>
          <cell r="B84">
            <v>6.71</v>
          </cell>
          <cell r="C84">
            <v>3.29</v>
          </cell>
          <cell r="D84">
            <v>1.25</v>
          </cell>
        </row>
        <row r="85">
          <cell r="A85">
            <v>0.5</v>
          </cell>
          <cell r="B85">
            <v>7.99</v>
          </cell>
          <cell r="C85">
            <v>3.8</v>
          </cell>
          <cell r="D85">
            <v>1.37</v>
          </cell>
        </row>
        <row r="91">
          <cell r="A91" t="str">
            <v>Ratio of Expected Error to</v>
          </cell>
          <cell r="B91" t="str">
            <v>Confidence Interval</v>
          </cell>
        </row>
        <row r="92">
          <cell r="A92" t="str">
            <v>Tolerable Misstatement</v>
          </cell>
          <cell r="B92" t="str">
            <v>High (90%)</v>
          </cell>
          <cell r="C92" t="str">
            <v>Medium (75%)</v>
          </cell>
          <cell r="D92" t="str">
            <v>Low (50%)</v>
          </cell>
        </row>
        <row r="93">
          <cell r="A93">
            <v>0</v>
          </cell>
          <cell r="B93">
            <v>1.4437473312729177</v>
          </cell>
          <cell r="C93">
            <v>0.86624839876375059</v>
          </cell>
          <cell r="D93">
            <v>0.57749893250916706</v>
          </cell>
        </row>
        <row r="94">
          <cell r="A94">
            <v>0.05</v>
          </cell>
          <cell r="B94">
            <v>1.4437473312729177</v>
          </cell>
          <cell r="C94">
            <v>0.86624839876375059</v>
          </cell>
          <cell r="D94">
            <v>0.57749893250916706</v>
          </cell>
        </row>
        <row r="95">
          <cell r="A95">
            <v>0.1</v>
          </cell>
          <cell r="B95">
            <v>1.4437473312729177</v>
          </cell>
          <cell r="C95">
            <v>0.86624839876375059</v>
          </cell>
          <cell r="D95">
            <v>0.57749893250916706</v>
          </cell>
        </row>
        <row r="96">
          <cell r="A96">
            <v>0.15</v>
          </cell>
          <cell r="B96">
            <v>1.4437473312729177</v>
          </cell>
          <cell r="C96">
            <v>0.86624839876375059</v>
          </cell>
          <cell r="D96">
            <v>0.57749893250916706</v>
          </cell>
        </row>
        <row r="97">
          <cell r="A97">
            <v>0.2</v>
          </cell>
          <cell r="B97">
            <v>2.0212462637820847</v>
          </cell>
          <cell r="C97">
            <v>1.1549978650183341</v>
          </cell>
          <cell r="D97">
            <v>0.57749893250916706</v>
          </cell>
        </row>
        <row r="98">
          <cell r="A98">
            <v>0.25</v>
          </cell>
          <cell r="B98">
            <v>2.0212462637820847</v>
          </cell>
          <cell r="C98">
            <v>1.1549978650183341</v>
          </cell>
          <cell r="D98">
            <v>0.57749893250916706</v>
          </cell>
        </row>
        <row r="99">
          <cell r="A99">
            <v>0.3</v>
          </cell>
          <cell r="B99">
            <v>2.0212462637820847</v>
          </cell>
          <cell r="C99">
            <v>1.1549978650183341</v>
          </cell>
          <cell r="D99">
            <v>0.57749893250916706</v>
          </cell>
        </row>
        <row r="100">
          <cell r="A100">
            <v>0.35</v>
          </cell>
          <cell r="B100">
            <v>2.0212462637820847</v>
          </cell>
          <cell r="C100">
            <v>1.1549978650183341</v>
          </cell>
          <cell r="D100">
            <v>0.57749893250916706</v>
          </cell>
        </row>
        <row r="101">
          <cell r="A101">
            <v>0.4</v>
          </cell>
          <cell r="B101">
            <v>3.4649935950550024</v>
          </cell>
          <cell r="C101">
            <v>3.4649935950550024</v>
          </cell>
          <cell r="D101">
            <v>3.4649935950550024</v>
          </cell>
        </row>
        <row r="102">
          <cell r="A102">
            <v>0.45</v>
          </cell>
          <cell r="B102">
            <v>3.4649935950550024</v>
          </cell>
          <cell r="C102">
            <v>3.4649935950550024</v>
          </cell>
          <cell r="D102">
            <v>3.4649935950550024</v>
          </cell>
        </row>
        <row r="103">
          <cell r="A103">
            <v>0.5</v>
          </cell>
          <cell r="B103">
            <v>3.4649935950550024</v>
          </cell>
          <cell r="C103">
            <v>3.4649935950550024</v>
          </cell>
          <cell r="D103">
            <v>3.4649935950550024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"/>
      <sheetName val="MB51-SAP extract"/>
      <sheetName val="MB51-Formated"/>
      <sheetName val="Sheet1"/>
      <sheetName val="MB51-PBC"/>
      <sheetName val="Background"/>
      <sheetName val="Sample Methodology"/>
      <sheetName val="MB51 for sample selection"/>
      <sheetName val="Input data-IDEA"/>
      <sheetName val="Screenshot"/>
      <sheetName val="Output data_ IDEA"/>
      <sheetName val="Sample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U5">
            <v>2326268.3199999998</v>
          </cell>
        </row>
        <row r="6">
          <cell r="U6">
            <v>2235343.12</v>
          </cell>
        </row>
        <row r="7">
          <cell r="U7">
            <v>2069336.5</v>
          </cell>
        </row>
        <row r="8">
          <cell r="U8">
            <v>2071518.2</v>
          </cell>
        </row>
        <row r="9">
          <cell r="U9">
            <v>2049308</v>
          </cell>
        </row>
        <row r="10">
          <cell r="U10">
            <v>2129376</v>
          </cell>
        </row>
        <row r="11">
          <cell r="U11">
            <v>1852560</v>
          </cell>
        </row>
        <row r="12">
          <cell r="U12">
            <v>1859070</v>
          </cell>
        </row>
        <row r="13">
          <cell r="U13">
            <v>3164840</v>
          </cell>
        </row>
        <row r="14">
          <cell r="U14">
            <v>2820640</v>
          </cell>
        </row>
        <row r="15">
          <cell r="U15">
            <v>2192400</v>
          </cell>
        </row>
        <row r="16">
          <cell r="U16">
            <v>60750</v>
          </cell>
        </row>
        <row r="17">
          <cell r="U17">
            <v>57750</v>
          </cell>
        </row>
        <row r="18">
          <cell r="U18">
            <v>51000</v>
          </cell>
        </row>
        <row r="19">
          <cell r="U19">
            <v>61200</v>
          </cell>
        </row>
        <row r="20">
          <cell r="U20">
            <v>79200</v>
          </cell>
        </row>
        <row r="21">
          <cell r="U21">
            <v>65700</v>
          </cell>
        </row>
        <row r="22">
          <cell r="U22">
            <v>43800</v>
          </cell>
        </row>
        <row r="23">
          <cell r="U23">
            <v>42600</v>
          </cell>
        </row>
        <row r="24">
          <cell r="U24">
            <v>52500</v>
          </cell>
        </row>
        <row r="25">
          <cell r="U25">
            <v>3517014.52</v>
          </cell>
        </row>
        <row r="26">
          <cell r="U26">
            <v>3524062.65</v>
          </cell>
        </row>
        <row r="27">
          <cell r="U27">
            <v>3525824.68</v>
          </cell>
        </row>
        <row r="28">
          <cell r="U28">
            <v>3828397.81</v>
          </cell>
        </row>
        <row r="29">
          <cell r="U29">
            <v>3824751.71</v>
          </cell>
        </row>
        <row r="30">
          <cell r="U30">
            <v>4347966.08</v>
          </cell>
        </row>
        <row r="31">
          <cell r="U31">
            <v>3790113.83</v>
          </cell>
        </row>
        <row r="32">
          <cell r="U32">
            <v>4191184.08</v>
          </cell>
        </row>
        <row r="33">
          <cell r="U33">
            <v>3811990.39</v>
          </cell>
        </row>
        <row r="34">
          <cell r="U34">
            <v>3994295.05</v>
          </cell>
        </row>
        <row r="35">
          <cell r="U35">
            <v>4176599.7</v>
          </cell>
        </row>
        <row r="36">
          <cell r="U36">
            <v>3996118.09</v>
          </cell>
        </row>
        <row r="37">
          <cell r="U37">
            <v>4005233.33</v>
          </cell>
        </row>
        <row r="38">
          <cell r="U38">
            <v>4564374.49</v>
          </cell>
        </row>
        <row r="39">
          <cell r="U39">
            <v>4566712.78</v>
          </cell>
        </row>
        <row r="40">
          <cell r="U40">
            <v>3842982.18</v>
          </cell>
        </row>
        <row r="41">
          <cell r="U41">
            <v>4538653.1100000003</v>
          </cell>
        </row>
        <row r="42">
          <cell r="U42">
            <v>4555021.2699999996</v>
          </cell>
        </row>
        <row r="43">
          <cell r="U43">
            <v>4223943.8</v>
          </cell>
        </row>
        <row r="44">
          <cell r="U44">
            <v>4223943.8</v>
          </cell>
        </row>
        <row r="45">
          <cell r="U45">
            <v>4581709.53</v>
          </cell>
        </row>
        <row r="46">
          <cell r="U46">
            <v>4029673.16</v>
          </cell>
        </row>
        <row r="47">
          <cell r="U47">
            <v>4400903.1900000004</v>
          </cell>
        </row>
        <row r="48">
          <cell r="U48">
            <v>4091224.25</v>
          </cell>
        </row>
        <row r="49">
          <cell r="U49">
            <v>4027749.69</v>
          </cell>
        </row>
        <row r="50">
          <cell r="U50">
            <v>4645184.0999999996</v>
          </cell>
        </row>
        <row r="51">
          <cell r="U51">
            <v>4608638.13</v>
          </cell>
        </row>
        <row r="52">
          <cell r="U52">
            <v>4033520.1</v>
          </cell>
        </row>
        <row r="53">
          <cell r="U53">
            <v>4812526.13</v>
          </cell>
        </row>
        <row r="54">
          <cell r="U54">
            <v>3739319.62</v>
          </cell>
        </row>
        <row r="55">
          <cell r="U55">
            <v>3803667.37</v>
          </cell>
        </row>
        <row r="56">
          <cell r="U56">
            <v>4291637.8600000003</v>
          </cell>
        </row>
        <row r="57">
          <cell r="U57">
            <v>4105744.34</v>
          </cell>
        </row>
        <row r="58">
          <cell r="U58">
            <v>3789367.87</v>
          </cell>
        </row>
        <row r="59">
          <cell r="U59">
            <v>3767918.62</v>
          </cell>
        </row>
        <row r="60">
          <cell r="U60">
            <v>3935937.76</v>
          </cell>
        </row>
        <row r="61">
          <cell r="U61">
            <v>3662205.14</v>
          </cell>
        </row>
        <row r="62">
          <cell r="U62">
            <v>3475805.48</v>
          </cell>
        </row>
        <row r="63">
          <cell r="U63">
            <v>3654895.35</v>
          </cell>
        </row>
        <row r="64">
          <cell r="U64">
            <v>3656722.8</v>
          </cell>
        </row>
        <row r="65">
          <cell r="U65">
            <v>3665860.04</v>
          </cell>
        </row>
        <row r="66">
          <cell r="U66">
            <v>3463312.92</v>
          </cell>
        </row>
        <row r="67">
          <cell r="U67">
            <v>3553375.43</v>
          </cell>
        </row>
        <row r="68">
          <cell r="U68">
            <v>3256987.9</v>
          </cell>
        </row>
        <row r="69">
          <cell r="U69">
            <v>3407637.92</v>
          </cell>
        </row>
        <row r="70">
          <cell r="U70">
            <v>3620512.94</v>
          </cell>
        </row>
        <row r="71">
          <cell r="U71">
            <v>3926725.48</v>
          </cell>
        </row>
        <row r="72">
          <cell r="U72">
            <v>3432200.42</v>
          </cell>
        </row>
        <row r="73">
          <cell r="U73">
            <v>3623787.94</v>
          </cell>
        </row>
        <row r="74">
          <cell r="U74">
            <v>3484600.43</v>
          </cell>
        </row>
        <row r="75">
          <cell r="U75">
            <v>3521473.74</v>
          </cell>
        </row>
        <row r="76">
          <cell r="U76">
            <v>3251540.36</v>
          </cell>
        </row>
        <row r="77">
          <cell r="U77">
            <v>3590885.18</v>
          </cell>
        </row>
        <row r="78">
          <cell r="U78">
            <v>3421212.77</v>
          </cell>
        </row>
        <row r="79">
          <cell r="U79">
            <v>3088037.85</v>
          </cell>
        </row>
        <row r="80">
          <cell r="U80">
            <v>3347173.9</v>
          </cell>
        </row>
        <row r="81">
          <cell r="U81">
            <v>3552323.26</v>
          </cell>
        </row>
        <row r="82">
          <cell r="U82">
            <v>3385735.81</v>
          </cell>
        </row>
        <row r="83">
          <cell r="U83">
            <v>3524558.69</v>
          </cell>
        </row>
        <row r="84">
          <cell r="U84">
            <v>3391905.71</v>
          </cell>
        </row>
        <row r="85">
          <cell r="U85">
            <v>3143567.01</v>
          </cell>
        </row>
        <row r="86">
          <cell r="U86">
            <v>3171703.75</v>
          </cell>
        </row>
        <row r="87">
          <cell r="U87">
            <v>3165373</v>
          </cell>
        </row>
        <row r="88">
          <cell r="U88">
            <v>3016600.47</v>
          </cell>
        </row>
        <row r="89">
          <cell r="U89">
            <v>3168538.37</v>
          </cell>
        </row>
        <row r="90">
          <cell r="U90">
            <v>3165373</v>
          </cell>
        </row>
        <row r="91">
          <cell r="U91">
            <v>3670738.84</v>
          </cell>
        </row>
        <row r="92">
          <cell r="U92">
            <v>3580103.32</v>
          </cell>
        </row>
        <row r="93">
          <cell r="U93">
            <v>3281631.15</v>
          </cell>
        </row>
        <row r="94">
          <cell r="U94">
            <v>3289444.56</v>
          </cell>
        </row>
        <row r="95">
          <cell r="U95">
            <v>3248814.84</v>
          </cell>
        </row>
        <row r="96">
          <cell r="U96">
            <v>3439461.98</v>
          </cell>
        </row>
        <row r="97">
          <cell r="U97">
            <v>3280068.47</v>
          </cell>
        </row>
        <row r="98">
          <cell r="U98">
            <v>3306634.05</v>
          </cell>
        </row>
        <row r="99">
          <cell r="U99">
            <v>3325906.65</v>
          </cell>
        </row>
        <row r="100">
          <cell r="U100">
            <v>3541709.76</v>
          </cell>
        </row>
        <row r="101">
          <cell r="U101">
            <v>3482998.62</v>
          </cell>
        </row>
        <row r="102">
          <cell r="U102">
            <v>3314799.14</v>
          </cell>
        </row>
        <row r="103">
          <cell r="U103">
            <v>3636917.01</v>
          </cell>
        </row>
        <row r="104">
          <cell r="U104">
            <v>3344948.1</v>
          </cell>
        </row>
        <row r="105">
          <cell r="U105">
            <v>3470576.12</v>
          </cell>
        </row>
        <row r="106">
          <cell r="U106">
            <v>3504238.35</v>
          </cell>
        </row>
        <row r="107">
          <cell r="U107">
            <v>3675915.73</v>
          </cell>
        </row>
        <row r="108">
          <cell r="U108">
            <v>3521069.47</v>
          </cell>
        </row>
        <row r="109">
          <cell r="U109">
            <v>3765120.65</v>
          </cell>
        </row>
        <row r="110">
          <cell r="U110">
            <v>3884621.57</v>
          </cell>
        </row>
        <row r="111">
          <cell r="U111">
            <v>3684331.29</v>
          </cell>
        </row>
        <row r="112">
          <cell r="U112">
            <v>3536217.47</v>
          </cell>
        </row>
        <row r="113">
          <cell r="U113">
            <v>3517703.24</v>
          </cell>
        </row>
        <row r="114">
          <cell r="U114">
            <v>3561456.13</v>
          </cell>
        </row>
        <row r="115">
          <cell r="U115">
            <v>3597534.56</v>
          </cell>
        </row>
        <row r="116">
          <cell r="U116">
            <v>3623304.87</v>
          </cell>
        </row>
        <row r="117">
          <cell r="U117">
            <v>3582072.38</v>
          </cell>
        </row>
        <row r="118">
          <cell r="U118">
            <v>3571764.26</v>
          </cell>
        </row>
        <row r="119">
          <cell r="U119">
            <v>3592380.5</v>
          </cell>
        </row>
        <row r="120">
          <cell r="U120">
            <v>1250114</v>
          </cell>
        </row>
        <row r="121">
          <cell r="U121">
            <v>1210110</v>
          </cell>
        </row>
        <row r="122">
          <cell r="U122">
            <v>1110100</v>
          </cell>
        </row>
        <row r="123">
          <cell r="U123">
            <v>1130093.75</v>
          </cell>
        </row>
        <row r="124">
          <cell r="U124">
            <v>1130093.75</v>
          </cell>
        </row>
        <row r="125">
          <cell r="U125">
            <v>164740.63</v>
          </cell>
        </row>
        <row r="126">
          <cell r="U126">
            <v>70000</v>
          </cell>
        </row>
        <row r="127">
          <cell r="U127">
            <v>64070</v>
          </cell>
        </row>
        <row r="128">
          <cell r="U128">
            <v>63360</v>
          </cell>
        </row>
        <row r="129">
          <cell r="U129">
            <v>70842.5</v>
          </cell>
        </row>
        <row r="130">
          <cell r="U130">
            <v>63910</v>
          </cell>
        </row>
        <row r="131">
          <cell r="U131">
            <v>77292.5</v>
          </cell>
        </row>
        <row r="132">
          <cell r="U132">
            <v>64460</v>
          </cell>
        </row>
        <row r="133">
          <cell r="U133">
            <v>42032.5</v>
          </cell>
        </row>
        <row r="134">
          <cell r="U134">
            <v>62480</v>
          </cell>
        </row>
        <row r="135">
          <cell r="U135">
            <v>75895</v>
          </cell>
        </row>
        <row r="136">
          <cell r="U136">
            <v>60280</v>
          </cell>
        </row>
        <row r="137">
          <cell r="U137">
            <v>68370</v>
          </cell>
        </row>
        <row r="138">
          <cell r="U138">
            <v>62810</v>
          </cell>
        </row>
        <row r="139">
          <cell r="U139">
            <v>62810</v>
          </cell>
        </row>
        <row r="140">
          <cell r="U140">
            <v>89980</v>
          </cell>
        </row>
        <row r="141">
          <cell r="U141">
            <v>64570</v>
          </cell>
        </row>
        <row r="142">
          <cell r="U142">
            <v>63140</v>
          </cell>
        </row>
        <row r="143">
          <cell r="U143">
            <v>63690</v>
          </cell>
        </row>
        <row r="144">
          <cell r="U144">
            <v>63580</v>
          </cell>
        </row>
        <row r="145">
          <cell r="U145">
            <v>61820</v>
          </cell>
        </row>
        <row r="146">
          <cell r="U146">
            <v>71595</v>
          </cell>
        </row>
        <row r="147">
          <cell r="U147">
            <v>53020</v>
          </cell>
        </row>
        <row r="148">
          <cell r="U148">
            <v>60092.5</v>
          </cell>
        </row>
        <row r="149">
          <cell r="U149">
            <v>63250</v>
          </cell>
        </row>
        <row r="150">
          <cell r="U150">
            <v>62565</v>
          </cell>
        </row>
        <row r="151">
          <cell r="U151">
            <v>60280</v>
          </cell>
        </row>
        <row r="152">
          <cell r="U152">
            <v>63360</v>
          </cell>
        </row>
        <row r="153">
          <cell r="U153">
            <v>88365</v>
          </cell>
        </row>
        <row r="154">
          <cell r="U154">
            <v>59950</v>
          </cell>
        </row>
        <row r="155">
          <cell r="U155">
            <v>63800</v>
          </cell>
        </row>
        <row r="156">
          <cell r="U156">
            <v>65010</v>
          </cell>
        </row>
        <row r="157">
          <cell r="U157">
            <v>66110</v>
          </cell>
        </row>
        <row r="158">
          <cell r="U158">
            <v>67617.5</v>
          </cell>
        </row>
        <row r="159">
          <cell r="U159">
            <v>65230</v>
          </cell>
        </row>
        <row r="160">
          <cell r="U160">
            <v>62565</v>
          </cell>
        </row>
        <row r="161">
          <cell r="U161">
            <v>65897.5</v>
          </cell>
        </row>
        <row r="162">
          <cell r="U162">
            <v>67510</v>
          </cell>
        </row>
        <row r="163">
          <cell r="U163">
            <v>64350</v>
          </cell>
        </row>
        <row r="164">
          <cell r="U164">
            <v>67402.5</v>
          </cell>
        </row>
        <row r="165">
          <cell r="U165">
            <v>62700</v>
          </cell>
        </row>
        <row r="166">
          <cell r="U166">
            <v>65897.5</v>
          </cell>
        </row>
        <row r="167">
          <cell r="U167">
            <v>64350</v>
          </cell>
        </row>
        <row r="168">
          <cell r="U168">
            <v>62700</v>
          </cell>
        </row>
        <row r="169">
          <cell r="U169">
            <v>53857.5</v>
          </cell>
        </row>
        <row r="170">
          <cell r="U170">
            <v>64500</v>
          </cell>
        </row>
        <row r="171">
          <cell r="U171">
            <v>68155</v>
          </cell>
        </row>
        <row r="172">
          <cell r="U172">
            <v>62260</v>
          </cell>
        </row>
        <row r="173">
          <cell r="U173">
            <v>110770</v>
          </cell>
        </row>
        <row r="174">
          <cell r="U174">
            <v>64822.5</v>
          </cell>
        </row>
        <row r="175">
          <cell r="U175">
            <v>61930</v>
          </cell>
        </row>
        <row r="176">
          <cell r="U176">
            <v>607112.5</v>
          </cell>
        </row>
        <row r="177">
          <cell r="U177">
            <v>479278</v>
          </cell>
        </row>
        <row r="178">
          <cell r="U178">
            <v>474628.5</v>
          </cell>
        </row>
        <row r="179">
          <cell r="U179">
            <v>501372.5</v>
          </cell>
        </row>
        <row r="180">
          <cell r="U180">
            <v>484438</v>
          </cell>
        </row>
        <row r="181">
          <cell r="U181">
            <v>525523.5</v>
          </cell>
        </row>
        <row r="182">
          <cell r="U182">
            <v>488750</v>
          </cell>
        </row>
        <row r="183">
          <cell r="U183">
            <v>484266</v>
          </cell>
        </row>
        <row r="184">
          <cell r="U184">
            <v>484198.5</v>
          </cell>
        </row>
        <row r="185">
          <cell r="U185">
            <v>465035</v>
          </cell>
        </row>
        <row r="186">
          <cell r="U186">
            <v>477386</v>
          </cell>
        </row>
        <row r="187">
          <cell r="U187">
            <v>470713.5</v>
          </cell>
        </row>
        <row r="188">
          <cell r="U188">
            <v>498695</v>
          </cell>
        </row>
        <row r="189">
          <cell r="U189">
            <v>484524</v>
          </cell>
        </row>
        <row r="190">
          <cell r="U190">
            <v>437305.5</v>
          </cell>
        </row>
        <row r="191">
          <cell r="U191">
            <v>378615</v>
          </cell>
        </row>
        <row r="192">
          <cell r="U192">
            <v>568182.5</v>
          </cell>
        </row>
        <row r="193">
          <cell r="U193">
            <v>426977</v>
          </cell>
        </row>
        <row r="194">
          <cell r="U194">
            <v>402321.5</v>
          </cell>
        </row>
        <row r="195">
          <cell r="U195">
            <v>390985</v>
          </cell>
        </row>
        <row r="196">
          <cell r="U196">
            <v>403945.5</v>
          </cell>
        </row>
        <row r="197">
          <cell r="U197">
            <v>389935</v>
          </cell>
        </row>
        <row r="198">
          <cell r="U198">
            <v>431758.5</v>
          </cell>
        </row>
        <row r="199">
          <cell r="U199">
            <v>478256</v>
          </cell>
        </row>
        <row r="200">
          <cell r="U200">
            <v>383359.5</v>
          </cell>
        </row>
        <row r="201">
          <cell r="U201">
            <v>389410</v>
          </cell>
        </row>
        <row r="202">
          <cell r="U202">
            <v>451915</v>
          </cell>
        </row>
        <row r="203">
          <cell r="U203">
            <v>350692</v>
          </cell>
        </row>
        <row r="204">
          <cell r="U204">
            <v>389620</v>
          </cell>
        </row>
        <row r="205">
          <cell r="U205">
            <v>360948.5</v>
          </cell>
        </row>
        <row r="206">
          <cell r="U206">
            <v>417089.5</v>
          </cell>
        </row>
        <row r="207">
          <cell r="U207">
            <v>386645</v>
          </cell>
        </row>
        <row r="208">
          <cell r="U208">
            <v>392010</v>
          </cell>
        </row>
        <row r="209">
          <cell r="U209">
            <v>459618.5</v>
          </cell>
        </row>
        <row r="210">
          <cell r="U210">
            <v>377024</v>
          </cell>
        </row>
        <row r="211">
          <cell r="U211">
            <v>434378</v>
          </cell>
        </row>
        <row r="212">
          <cell r="U212">
            <v>375722.5</v>
          </cell>
        </row>
        <row r="213">
          <cell r="U213">
            <v>483936</v>
          </cell>
        </row>
        <row r="214">
          <cell r="U214">
            <v>375962.25</v>
          </cell>
        </row>
        <row r="215">
          <cell r="U215">
            <v>468813</v>
          </cell>
        </row>
        <row r="216">
          <cell r="U216">
            <v>456312.75</v>
          </cell>
        </row>
        <row r="217">
          <cell r="U217">
            <v>411985</v>
          </cell>
        </row>
        <row r="218">
          <cell r="U218">
            <v>343490</v>
          </cell>
        </row>
        <row r="219">
          <cell r="U219">
            <v>428556</v>
          </cell>
        </row>
        <row r="220">
          <cell r="U220">
            <v>386050</v>
          </cell>
        </row>
        <row r="221">
          <cell r="U221">
            <v>355845</v>
          </cell>
        </row>
        <row r="222">
          <cell r="U222">
            <v>234400</v>
          </cell>
        </row>
        <row r="223">
          <cell r="U223">
            <v>164000</v>
          </cell>
        </row>
        <row r="224">
          <cell r="U224">
            <v>28000</v>
          </cell>
        </row>
        <row r="225">
          <cell r="U225">
            <v>53655</v>
          </cell>
        </row>
        <row r="226">
          <cell r="U226">
            <v>28105</v>
          </cell>
        </row>
        <row r="227">
          <cell r="U227">
            <v>23450</v>
          </cell>
        </row>
        <row r="228">
          <cell r="U228">
            <v>2079454.95</v>
          </cell>
        </row>
        <row r="229">
          <cell r="U229">
            <v>2080679.26</v>
          </cell>
        </row>
        <row r="230">
          <cell r="U230">
            <v>3206819.76</v>
          </cell>
        </row>
        <row r="231">
          <cell r="U231">
            <v>132570872</v>
          </cell>
        </row>
        <row r="232">
          <cell r="U232">
            <v>2079238.9</v>
          </cell>
        </row>
        <row r="233">
          <cell r="U233">
            <v>1674902.25</v>
          </cell>
        </row>
        <row r="234">
          <cell r="U234">
            <v>1712058.5</v>
          </cell>
        </row>
        <row r="235">
          <cell r="U235">
            <v>1669530</v>
          </cell>
        </row>
        <row r="236">
          <cell r="U236">
            <v>1676304</v>
          </cell>
        </row>
        <row r="237">
          <cell r="U237">
            <v>1767769</v>
          </cell>
        </row>
        <row r="238">
          <cell r="U238">
            <v>1687042.5</v>
          </cell>
        </row>
        <row r="239">
          <cell r="U239">
            <v>1985046.25</v>
          </cell>
        </row>
        <row r="240">
          <cell r="U240">
            <v>1675315.5</v>
          </cell>
        </row>
        <row r="241">
          <cell r="U241">
            <v>1699170.25</v>
          </cell>
        </row>
        <row r="242">
          <cell r="U242">
            <v>1694225</v>
          </cell>
        </row>
        <row r="243">
          <cell r="U243">
            <v>1698027.5</v>
          </cell>
        </row>
        <row r="244">
          <cell r="U244">
            <v>82828273</v>
          </cell>
        </row>
        <row r="245">
          <cell r="U245">
            <v>1670593.4</v>
          </cell>
        </row>
        <row r="246">
          <cell r="U246">
            <v>1657800.9</v>
          </cell>
        </row>
        <row r="247">
          <cell r="U247">
            <v>1645484.4</v>
          </cell>
        </row>
        <row r="248">
          <cell r="U248">
            <v>1649179.35</v>
          </cell>
        </row>
        <row r="249">
          <cell r="U249">
            <v>1650411</v>
          </cell>
        </row>
        <row r="250">
          <cell r="U250">
            <v>1848140.4</v>
          </cell>
        </row>
        <row r="251">
          <cell r="U251">
            <v>1646716.05</v>
          </cell>
        </row>
        <row r="252">
          <cell r="U252">
            <v>1647947.7</v>
          </cell>
        </row>
        <row r="253">
          <cell r="U253">
            <v>1652874.3</v>
          </cell>
        </row>
        <row r="254">
          <cell r="U254">
            <v>1647126.6</v>
          </cell>
        </row>
        <row r="255">
          <cell r="U255">
            <v>88596180.230000004</v>
          </cell>
        </row>
        <row r="256">
          <cell r="U256">
            <v>1705277</v>
          </cell>
        </row>
        <row r="257">
          <cell r="U257">
            <v>1852682.3</v>
          </cell>
        </row>
        <row r="258">
          <cell r="U258">
            <v>1692477.1</v>
          </cell>
        </row>
        <row r="259">
          <cell r="U259">
            <v>1696193.2</v>
          </cell>
        </row>
        <row r="260">
          <cell r="U260">
            <v>1699083.5</v>
          </cell>
        </row>
        <row r="261">
          <cell r="U261">
            <v>138938329</v>
          </cell>
        </row>
        <row r="262">
          <cell r="U262">
            <v>1680719.1</v>
          </cell>
        </row>
        <row r="263">
          <cell r="U263">
            <v>1657793.5</v>
          </cell>
        </row>
        <row r="264">
          <cell r="U264">
            <v>1658206.4</v>
          </cell>
        </row>
        <row r="265">
          <cell r="U265">
            <v>1698161.7</v>
          </cell>
        </row>
        <row r="266">
          <cell r="U266">
            <v>1690686.3</v>
          </cell>
        </row>
        <row r="267">
          <cell r="U267">
            <v>1662335.4</v>
          </cell>
        </row>
        <row r="268">
          <cell r="U268">
            <v>1661922.5</v>
          </cell>
        </row>
        <row r="269">
          <cell r="U269">
            <v>1688609.8</v>
          </cell>
        </row>
        <row r="270">
          <cell r="U270">
            <v>1524566.3</v>
          </cell>
        </row>
        <row r="271">
          <cell r="U271">
            <v>102807134.40000001</v>
          </cell>
        </row>
        <row r="272">
          <cell r="U272">
            <v>1636954</v>
          </cell>
        </row>
        <row r="273">
          <cell r="U273">
            <v>1927239</v>
          </cell>
        </row>
        <row r="274">
          <cell r="U274">
            <v>1850018</v>
          </cell>
        </row>
        <row r="275">
          <cell r="U275">
            <v>1919024</v>
          </cell>
        </row>
        <row r="276">
          <cell r="U276">
            <v>823089.6</v>
          </cell>
        </row>
        <row r="277">
          <cell r="U277">
            <v>1624744</v>
          </cell>
        </row>
        <row r="278">
          <cell r="U278">
            <v>1641838</v>
          </cell>
        </row>
        <row r="279">
          <cell r="U279">
            <v>1628000</v>
          </cell>
        </row>
        <row r="280">
          <cell r="U280">
            <v>1916559.5</v>
          </cell>
        </row>
        <row r="281">
          <cell r="U281">
            <v>32626362.600000001</v>
          </cell>
        </row>
        <row r="282">
          <cell r="U282">
            <v>1624744</v>
          </cell>
        </row>
        <row r="283">
          <cell r="U283">
            <v>1567390.5</v>
          </cell>
        </row>
        <row r="284">
          <cell r="U284">
            <v>1536541.4</v>
          </cell>
        </row>
        <row r="285">
          <cell r="U285">
            <v>1536163.5</v>
          </cell>
        </row>
        <row r="286">
          <cell r="U286">
            <v>1533140.3</v>
          </cell>
        </row>
        <row r="287">
          <cell r="U287">
            <v>1541832</v>
          </cell>
        </row>
        <row r="288">
          <cell r="U288">
            <v>1570432.5</v>
          </cell>
        </row>
        <row r="289">
          <cell r="U289">
            <v>1552413.2</v>
          </cell>
        </row>
        <row r="290">
          <cell r="U290">
            <v>1574235</v>
          </cell>
        </row>
        <row r="291">
          <cell r="U291">
            <v>1559593.3</v>
          </cell>
        </row>
        <row r="292">
          <cell r="U292">
            <v>423968.25</v>
          </cell>
        </row>
        <row r="293">
          <cell r="U293">
            <v>66066039.600000001</v>
          </cell>
        </row>
        <row r="294">
          <cell r="U294">
            <v>1561482.8</v>
          </cell>
        </row>
        <row r="295">
          <cell r="U295">
            <v>1549767.9</v>
          </cell>
        </row>
        <row r="296">
          <cell r="U296">
            <v>1550145.8</v>
          </cell>
        </row>
        <row r="297">
          <cell r="U297">
            <v>1599331.5</v>
          </cell>
        </row>
        <row r="298">
          <cell r="U298">
            <v>1166577.3</v>
          </cell>
        </row>
        <row r="299">
          <cell r="U299">
            <v>1485146.6</v>
          </cell>
        </row>
        <row r="300">
          <cell r="U300">
            <v>1479328.2</v>
          </cell>
        </row>
        <row r="301">
          <cell r="U301">
            <v>67794510</v>
          </cell>
        </row>
        <row r="302">
          <cell r="U302">
            <v>1464054.9</v>
          </cell>
        </row>
        <row r="303">
          <cell r="U303">
            <v>1480055.5</v>
          </cell>
        </row>
        <row r="304">
          <cell r="U304">
            <v>77894835.099999994</v>
          </cell>
        </row>
        <row r="305">
          <cell r="U305">
            <v>1480055.5</v>
          </cell>
        </row>
        <row r="306">
          <cell r="U306">
            <v>1484782.95</v>
          </cell>
        </row>
        <row r="307">
          <cell r="U307">
            <v>1515972</v>
          </cell>
        </row>
        <row r="308">
          <cell r="U308">
            <v>1486601.2</v>
          </cell>
        </row>
        <row r="309">
          <cell r="U309">
            <v>1485146.6</v>
          </cell>
        </row>
        <row r="310">
          <cell r="U310">
            <v>1479691.85</v>
          </cell>
        </row>
        <row r="311">
          <cell r="U311">
            <v>1555500</v>
          </cell>
        </row>
        <row r="312">
          <cell r="U312">
            <v>1616661</v>
          </cell>
        </row>
        <row r="313">
          <cell r="U313">
            <v>1606404</v>
          </cell>
        </row>
        <row r="314">
          <cell r="U314">
            <v>1606404</v>
          </cell>
        </row>
        <row r="315">
          <cell r="U315">
            <v>78857290.959999993</v>
          </cell>
        </row>
        <row r="316">
          <cell r="U316">
            <v>1607587.5</v>
          </cell>
        </row>
        <row r="317">
          <cell r="U317">
            <v>1618633.5</v>
          </cell>
        </row>
        <row r="318">
          <cell r="U318">
            <v>1617844.5</v>
          </cell>
        </row>
        <row r="319">
          <cell r="U319">
            <v>1607982</v>
          </cell>
        </row>
        <row r="320">
          <cell r="U320">
            <v>1612716</v>
          </cell>
        </row>
        <row r="321">
          <cell r="U321">
            <v>1602853.5</v>
          </cell>
        </row>
        <row r="322">
          <cell r="U322">
            <v>1202436</v>
          </cell>
        </row>
        <row r="323">
          <cell r="U323">
            <v>2128400</v>
          </cell>
        </row>
        <row r="324">
          <cell r="U324">
            <v>2184925</v>
          </cell>
        </row>
        <row r="325">
          <cell r="U325">
            <v>2106300</v>
          </cell>
        </row>
        <row r="326">
          <cell r="U326">
            <v>2025550</v>
          </cell>
        </row>
        <row r="327">
          <cell r="U327">
            <v>1731793</v>
          </cell>
        </row>
        <row r="328">
          <cell r="U328">
            <v>1743736.4</v>
          </cell>
        </row>
        <row r="329">
          <cell r="U329">
            <v>1724968.2</v>
          </cell>
        </row>
        <row r="330">
          <cell r="U330">
            <v>1725394.75</v>
          </cell>
        </row>
        <row r="331">
          <cell r="U331">
            <v>1740750.55</v>
          </cell>
        </row>
        <row r="332">
          <cell r="U332">
            <v>1726247.85</v>
          </cell>
        </row>
        <row r="333">
          <cell r="U333">
            <v>1728380.6</v>
          </cell>
        </row>
        <row r="334">
          <cell r="U334">
            <v>1730939.9</v>
          </cell>
        </row>
        <row r="335">
          <cell r="U335">
            <v>1727527.5</v>
          </cell>
        </row>
        <row r="336">
          <cell r="U336">
            <v>1462639.95</v>
          </cell>
        </row>
        <row r="337">
          <cell r="U337">
            <v>548890.31999999995</v>
          </cell>
        </row>
        <row r="338">
          <cell r="U338">
            <v>88682848.349999994</v>
          </cell>
        </row>
        <row r="339">
          <cell r="U339">
            <v>1766214.4</v>
          </cell>
        </row>
        <row r="340">
          <cell r="U340">
            <v>1864410</v>
          </cell>
        </row>
        <row r="341">
          <cell r="U341">
            <v>2295930</v>
          </cell>
        </row>
        <row r="342">
          <cell r="U342">
            <v>1746657.4</v>
          </cell>
        </row>
        <row r="343">
          <cell r="U343">
            <v>2278965</v>
          </cell>
        </row>
        <row r="344">
          <cell r="U344">
            <v>1842660</v>
          </cell>
        </row>
        <row r="345">
          <cell r="U345">
            <v>1762303</v>
          </cell>
        </row>
        <row r="346">
          <cell r="U346">
            <v>1757957</v>
          </cell>
        </row>
        <row r="347">
          <cell r="U347">
            <v>1689731.75</v>
          </cell>
        </row>
        <row r="348">
          <cell r="U348">
            <v>1692268.25</v>
          </cell>
        </row>
        <row r="349">
          <cell r="U349">
            <v>34994879.189999998</v>
          </cell>
        </row>
        <row r="350">
          <cell r="U350">
            <v>1692691</v>
          </cell>
        </row>
        <row r="351">
          <cell r="U351">
            <v>1703682.5</v>
          </cell>
        </row>
        <row r="352">
          <cell r="U352">
            <v>1700300.5</v>
          </cell>
        </row>
        <row r="353">
          <cell r="U353">
            <v>1639905</v>
          </cell>
        </row>
        <row r="354">
          <cell r="U354">
            <v>1641540</v>
          </cell>
        </row>
        <row r="355">
          <cell r="U355">
            <v>1640722.5</v>
          </cell>
        </row>
        <row r="356">
          <cell r="U356">
            <v>1935037.5</v>
          </cell>
        </row>
        <row r="357">
          <cell r="U357">
            <v>1928025</v>
          </cell>
        </row>
        <row r="358">
          <cell r="U358">
            <v>1788187.5</v>
          </cell>
        </row>
        <row r="359">
          <cell r="U359">
            <v>1923075</v>
          </cell>
        </row>
        <row r="360">
          <cell r="U360">
            <v>1637452.5</v>
          </cell>
        </row>
        <row r="361">
          <cell r="U361">
            <v>1921012.5</v>
          </cell>
        </row>
        <row r="362">
          <cell r="U362">
            <v>1635000</v>
          </cell>
        </row>
        <row r="363">
          <cell r="U363">
            <v>1752993.55</v>
          </cell>
        </row>
        <row r="364">
          <cell r="U364">
            <v>1674385.9</v>
          </cell>
        </row>
        <row r="365">
          <cell r="U365">
            <v>1721841.65</v>
          </cell>
        </row>
        <row r="366">
          <cell r="U366">
            <v>1667942.65</v>
          </cell>
        </row>
        <row r="367">
          <cell r="U367">
            <v>1729957.5</v>
          </cell>
        </row>
        <row r="368">
          <cell r="U368">
            <v>1723977.4</v>
          </cell>
        </row>
        <row r="369">
          <cell r="U369">
            <v>1691997.45</v>
          </cell>
        </row>
        <row r="370">
          <cell r="U370">
            <v>1848641.98</v>
          </cell>
        </row>
        <row r="371">
          <cell r="U371">
            <v>1619353.05</v>
          </cell>
        </row>
        <row r="372">
          <cell r="U372">
            <v>1795534.62</v>
          </cell>
        </row>
        <row r="373">
          <cell r="U373">
            <v>1725686</v>
          </cell>
        </row>
        <row r="374">
          <cell r="U374">
            <v>1620196.03</v>
          </cell>
        </row>
        <row r="375">
          <cell r="U375">
            <v>1776989.19</v>
          </cell>
        </row>
        <row r="376">
          <cell r="U376">
            <v>1753852.65</v>
          </cell>
        </row>
        <row r="377">
          <cell r="U377">
            <v>1779518.11</v>
          </cell>
        </row>
        <row r="378">
          <cell r="U378">
            <v>1612609.26</v>
          </cell>
        </row>
        <row r="379">
          <cell r="U379">
            <v>207375</v>
          </cell>
        </row>
        <row r="380">
          <cell r="U380">
            <v>207375</v>
          </cell>
        </row>
        <row r="381">
          <cell r="U381">
            <v>207375</v>
          </cell>
        </row>
        <row r="382">
          <cell r="U382">
            <v>207375</v>
          </cell>
        </row>
        <row r="383">
          <cell r="U383">
            <v>207375</v>
          </cell>
        </row>
        <row r="384">
          <cell r="U384">
            <v>183750</v>
          </cell>
        </row>
        <row r="385">
          <cell r="U385">
            <v>183750</v>
          </cell>
        </row>
        <row r="386">
          <cell r="U386">
            <v>183750</v>
          </cell>
        </row>
        <row r="387">
          <cell r="U387">
            <v>183750</v>
          </cell>
        </row>
        <row r="388">
          <cell r="U388">
            <v>177187.5</v>
          </cell>
        </row>
        <row r="389">
          <cell r="U389">
            <v>177187.5</v>
          </cell>
        </row>
        <row r="390">
          <cell r="U390">
            <v>177187.5</v>
          </cell>
        </row>
        <row r="391">
          <cell r="U391">
            <v>177187.5</v>
          </cell>
        </row>
        <row r="392">
          <cell r="U392">
            <v>166250</v>
          </cell>
        </row>
        <row r="393">
          <cell r="U393">
            <v>166250</v>
          </cell>
        </row>
        <row r="394">
          <cell r="U394">
            <v>166250</v>
          </cell>
        </row>
        <row r="395">
          <cell r="U395">
            <v>166250</v>
          </cell>
        </row>
        <row r="396">
          <cell r="U396">
            <v>169750</v>
          </cell>
        </row>
        <row r="397">
          <cell r="U397">
            <v>169750</v>
          </cell>
        </row>
        <row r="398">
          <cell r="U398">
            <v>169750</v>
          </cell>
        </row>
        <row r="399">
          <cell r="U399">
            <v>169750</v>
          </cell>
        </row>
        <row r="400">
          <cell r="U400">
            <v>192500</v>
          </cell>
        </row>
        <row r="401">
          <cell r="U401">
            <v>192500</v>
          </cell>
        </row>
        <row r="402">
          <cell r="U402">
            <v>192500</v>
          </cell>
        </row>
        <row r="403">
          <cell r="U403">
            <v>192500</v>
          </cell>
        </row>
        <row r="404">
          <cell r="U404">
            <v>192500</v>
          </cell>
        </row>
        <row r="405">
          <cell r="U405">
            <v>201250</v>
          </cell>
        </row>
        <row r="406">
          <cell r="U406">
            <v>201250</v>
          </cell>
        </row>
        <row r="407">
          <cell r="U407">
            <v>201250</v>
          </cell>
        </row>
        <row r="408">
          <cell r="U408">
            <v>201250</v>
          </cell>
        </row>
        <row r="409">
          <cell r="U409">
            <v>201250</v>
          </cell>
        </row>
        <row r="410">
          <cell r="U410">
            <v>201250</v>
          </cell>
        </row>
        <row r="411">
          <cell r="U411">
            <v>201250</v>
          </cell>
        </row>
        <row r="412">
          <cell r="U412">
            <v>201250</v>
          </cell>
        </row>
        <row r="413">
          <cell r="U413">
            <v>192500</v>
          </cell>
        </row>
        <row r="414">
          <cell r="U414">
            <v>192500</v>
          </cell>
        </row>
        <row r="415">
          <cell r="U415">
            <v>44000</v>
          </cell>
        </row>
        <row r="416">
          <cell r="U416">
            <v>1861096.3</v>
          </cell>
        </row>
        <row r="417">
          <cell r="U417">
            <v>1861096.3</v>
          </cell>
        </row>
        <row r="418">
          <cell r="U418">
            <v>1861096.3</v>
          </cell>
        </row>
        <row r="419">
          <cell r="U419">
            <v>1848490.61</v>
          </cell>
        </row>
        <row r="420">
          <cell r="U420">
            <v>1896011.81</v>
          </cell>
        </row>
        <row r="421">
          <cell r="U421">
            <v>1767144.71</v>
          </cell>
        </row>
        <row r="422">
          <cell r="U422">
            <v>1841719.52</v>
          </cell>
        </row>
        <row r="423">
          <cell r="U423">
            <v>1755852.72</v>
          </cell>
        </row>
        <row r="424">
          <cell r="U424">
            <v>1835169.63</v>
          </cell>
        </row>
        <row r="425">
          <cell r="U425">
            <v>1835169.63</v>
          </cell>
        </row>
        <row r="426">
          <cell r="U426">
            <v>1835170.02</v>
          </cell>
        </row>
        <row r="427">
          <cell r="U427">
            <v>1814870.8</v>
          </cell>
        </row>
        <row r="428">
          <cell r="U428">
            <v>1678758.9</v>
          </cell>
        </row>
        <row r="429">
          <cell r="U429">
            <v>1678758.9</v>
          </cell>
        </row>
        <row r="430">
          <cell r="U430">
            <v>1677359.91</v>
          </cell>
        </row>
        <row r="431">
          <cell r="U431">
            <v>1678758.9</v>
          </cell>
        </row>
        <row r="432">
          <cell r="U432">
            <v>1656484.28</v>
          </cell>
        </row>
        <row r="433">
          <cell r="U433">
            <v>1661021.49</v>
          </cell>
        </row>
        <row r="434">
          <cell r="U434">
            <v>1661021.49</v>
          </cell>
        </row>
        <row r="435">
          <cell r="U435">
            <v>1661021.06</v>
          </cell>
        </row>
        <row r="436">
          <cell r="U436">
            <v>1661021.38</v>
          </cell>
        </row>
        <row r="437">
          <cell r="U437">
            <v>1661021.38</v>
          </cell>
        </row>
        <row r="438">
          <cell r="U438">
            <v>1768460.07</v>
          </cell>
        </row>
        <row r="439">
          <cell r="U439">
            <v>1748492.31</v>
          </cell>
        </row>
        <row r="440">
          <cell r="U440">
            <v>1814770.27</v>
          </cell>
        </row>
        <row r="441">
          <cell r="U441">
            <v>1814770.27</v>
          </cell>
        </row>
        <row r="442">
          <cell r="U442">
            <v>1771135.59</v>
          </cell>
        </row>
        <row r="443">
          <cell r="U443">
            <v>1643921.47</v>
          </cell>
        </row>
        <row r="444">
          <cell r="U444">
            <v>1643921.47</v>
          </cell>
        </row>
        <row r="445">
          <cell r="U445">
            <v>1686956.94</v>
          </cell>
        </row>
        <row r="446">
          <cell r="U446">
            <v>1685550.55</v>
          </cell>
        </row>
        <row r="447">
          <cell r="U447">
            <v>1644844.17</v>
          </cell>
        </row>
        <row r="448">
          <cell r="U448">
            <v>1644844.17</v>
          </cell>
        </row>
        <row r="449">
          <cell r="U449">
            <v>1708567.55</v>
          </cell>
        </row>
        <row r="450">
          <cell r="U450">
            <v>1712414.14</v>
          </cell>
        </row>
        <row r="451">
          <cell r="U451">
            <v>1704940.17</v>
          </cell>
        </row>
        <row r="452">
          <cell r="U452">
            <v>1562706.53</v>
          </cell>
        </row>
        <row r="453">
          <cell r="U453">
            <v>1558930.95</v>
          </cell>
        </row>
        <row r="454">
          <cell r="U454">
            <v>1551608.53</v>
          </cell>
        </row>
        <row r="455">
          <cell r="U455">
            <v>1551609.06</v>
          </cell>
        </row>
        <row r="456">
          <cell r="U456">
            <v>1549524.64</v>
          </cell>
        </row>
        <row r="457">
          <cell r="U457">
            <v>1554954.57</v>
          </cell>
        </row>
        <row r="458">
          <cell r="U458">
            <v>1712833.56</v>
          </cell>
        </row>
        <row r="459">
          <cell r="U459">
            <v>1640826.46</v>
          </cell>
        </row>
        <row r="460">
          <cell r="U460">
            <v>1571086.37</v>
          </cell>
        </row>
        <row r="461">
          <cell r="U461">
            <v>1571086.65</v>
          </cell>
        </row>
        <row r="462">
          <cell r="U462">
            <v>1584459.16</v>
          </cell>
        </row>
        <row r="463">
          <cell r="U463">
            <v>1589220.48</v>
          </cell>
        </row>
        <row r="464">
          <cell r="U464">
            <v>1590109.13</v>
          </cell>
        </row>
        <row r="465">
          <cell r="U465">
            <v>1606026.55</v>
          </cell>
        </row>
        <row r="466">
          <cell r="U466">
            <v>13542006.42</v>
          </cell>
        </row>
        <row r="467">
          <cell r="U467">
            <v>11509555.07</v>
          </cell>
        </row>
        <row r="468">
          <cell r="U468">
            <v>11405653.24</v>
          </cell>
        </row>
        <row r="469">
          <cell r="U469">
            <v>11364633.93</v>
          </cell>
        </row>
        <row r="470">
          <cell r="U470">
            <v>11269552.939999999</v>
          </cell>
        </row>
        <row r="471">
          <cell r="U471">
            <v>11383909.07</v>
          </cell>
        </row>
        <row r="472">
          <cell r="U472">
            <v>11336344.720000001</v>
          </cell>
        </row>
        <row r="473">
          <cell r="U473">
            <v>11347680.84</v>
          </cell>
        </row>
        <row r="474">
          <cell r="U474">
            <v>11330676.310000001</v>
          </cell>
        </row>
        <row r="475">
          <cell r="U475">
            <v>11414660</v>
          </cell>
        </row>
        <row r="476">
          <cell r="U476">
            <v>11374887.74</v>
          </cell>
        </row>
        <row r="477">
          <cell r="U477">
            <v>10713066.18</v>
          </cell>
        </row>
        <row r="478">
          <cell r="U478">
            <v>10729119.65</v>
          </cell>
        </row>
        <row r="479">
          <cell r="U479">
            <v>10735454.23</v>
          </cell>
        </row>
        <row r="480">
          <cell r="U480">
            <v>10742761.83</v>
          </cell>
        </row>
        <row r="481">
          <cell r="U481">
            <v>10760791.210000001</v>
          </cell>
        </row>
        <row r="482">
          <cell r="U482">
            <v>10756385.16</v>
          </cell>
        </row>
        <row r="483">
          <cell r="U483">
            <v>10740274.66</v>
          </cell>
        </row>
        <row r="484">
          <cell r="U484">
            <v>10655686.6</v>
          </cell>
        </row>
        <row r="485">
          <cell r="U485">
            <v>10689727.039999999</v>
          </cell>
        </row>
        <row r="486">
          <cell r="U486">
            <v>11732619.43</v>
          </cell>
        </row>
        <row r="487">
          <cell r="U487">
            <v>11292948.91</v>
          </cell>
        </row>
        <row r="488">
          <cell r="U488">
            <v>3290371.25</v>
          </cell>
        </row>
        <row r="489">
          <cell r="U489">
            <v>2936030.34</v>
          </cell>
        </row>
        <row r="490">
          <cell r="U490">
            <v>2615438.4500000002</v>
          </cell>
        </row>
        <row r="491">
          <cell r="U491">
            <v>2618700.9500000002</v>
          </cell>
        </row>
        <row r="492">
          <cell r="U492">
            <v>2840616.45</v>
          </cell>
        </row>
        <row r="493">
          <cell r="U493">
            <v>2787313.22</v>
          </cell>
        </row>
        <row r="494">
          <cell r="U494">
            <v>2185885.8199999998</v>
          </cell>
        </row>
        <row r="495">
          <cell r="U495">
            <v>2260649.7000000002</v>
          </cell>
        </row>
        <row r="496">
          <cell r="U496">
            <v>2236425.08</v>
          </cell>
        </row>
        <row r="497">
          <cell r="U497">
            <v>2215391.33</v>
          </cell>
        </row>
        <row r="498">
          <cell r="U498">
            <v>2627194.81</v>
          </cell>
        </row>
        <row r="499">
          <cell r="U499">
            <v>2502139.67</v>
          </cell>
        </row>
        <row r="500">
          <cell r="U500">
            <v>2612366.09</v>
          </cell>
        </row>
        <row r="501">
          <cell r="U501">
            <v>2831846.47</v>
          </cell>
        </row>
        <row r="502">
          <cell r="U502">
            <v>2588418.63</v>
          </cell>
        </row>
        <row r="503">
          <cell r="U503">
            <v>2510547.94</v>
          </cell>
        </row>
        <row r="504">
          <cell r="U504">
            <v>2313590.9900000002</v>
          </cell>
        </row>
        <row r="505">
          <cell r="U505">
            <v>2280229.11</v>
          </cell>
        </row>
        <row r="506">
          <cell r="U506">
            <v>2104618.64</v>
          </cell>
        </row>
        <row r="507">
          <cell r="U507">
            <v>2252582.83</v>
          </cell>
        </row>
        <row r="508">
          <cell r="U508">
            <v>2566557.5299999998</v>
          </cell>
        </row>
        <row r="509">
          <cell r="U509">
            <v>2370693.0099999998</v>
          </cell>
        </row>
        <row r="510">
          <cell r="U510">
            <v>36321991</v>
          </cell>
        </row>
        <row r="511">
          <cell r="U511">
            <v>16101991</v>
          </cell>
        </row>
        <row r="512">
          <cell r="U512">
            <v>15000000</v>
          </cell>
        </row>
        <row r="513">
          <cell r="U513">
            <v>9750000</v>
          </cell>
        </row>
        <row r="514">
          <cell r="U514">
            <v>12200000</v>
          </cell>
        </row>
        <row r="515">
          <cell r="U515">
            <v>12900000</v>
          </cell>
        </row>
        <row r="516">
          <cell r="U516">
            <v>13360000</v>
          </cell>
        </row>
        <row r="517">
          <cell r="U517">
            <v>6680000</v>
          </cell>
        </row>
        <row r="518">
          <cell r="U518">
            <v>6300000</v>
          </cell>
        </row>
        <row r="519">
          <cell r="U519">
            <v>11400000</v>
          </cell>
        </row>
        <row r="520">
          <cell r="U520">
            <v>11400000</v>
          </cell>
        </row>
        <row r="521">
          <cell r="U521">
            <v>1072965</v>
          </cell>
        </row>
        <row r="522">
          <cell r="U522">
            <v>3217945.9</v>
          </cell>
        </row>
        <row r="523">
          <cell r="U523">
            <v>3245814</v>
          </cell>
        </row>
        <row r="524">
          <cell r="U524">
            <v>3203192.2</v>
          </cell>
        </row>
        <row r="525">
          <cell r="U525">
            <v>3221224.5</v>
          </cell>
        </row>
        <row r="526">
          <cell r="U526">
            <v>3181881.3</v>
          </cell>
        </row>
        <row r="527">
          <cell r="U527">
            <v>3222863.8</v>
          </cell>
        </row>
        <row r="528">
          <cell r="U528">
            <v>3193428</v>
          </cell>
        </row>
        <row r="529">
          <cell r="U529">
            <v>3198315.9</v>
          </cell>
        </row>
        <row r="530">
          <cell r="U530">
            <v>3213028</v>
          </cell>
        </row>
        <row r="531">
          <cell r="U531">
            <v>3219585.2</v>
          </cell>
        </row>
        <row r="532">
          <cell r="U532">
            <v>3209749.4</v>
          </cell>
        </row>
        <row r="533">
          <cell r="U533">
            <v>3211388.7</v>
          </cell>
        </row>
        <row r="534">
          <cell r="U534">
            <v>3206462.4</v>
          </cell>
        </row>
        <row r="535">
          <cell r="U535">
            <v>3193428</v>
          </cell>
        </row>
        <row r="536">
          <cell r="U536">
            <v>3195057.3</v>
          </cell>
        </row>
        <row r="537">
          <cell r="U537">
            <v>2848498.4</v>
          </cell>
        </row>
        <row r="538">
          <cell r="U538">
            <v>2852862.8</v>
          </cell>
        </row>
        <row r="539">
          <cell r="U539">
            <v>2857655.78</v>
          </cell>
        </row>
        <row r="540">
          <cell r="U540">
            <v>2863475.86</v>
          </cell>
        </row>
        <row r="541">
          <cell r="U541">
            <v>2850380.69</v>
          </cell>
        </row>
        <row r="542">
          <cell r="U542">
            <v>2933316.73</v>
          </cell>
        </row>
        <row r="543">
          <cell r="U543">
            <v>2856200.77</v>
          </cell>
        </row>
        <row r="544">
          <cell r="U544">
            <v>2959259.82</v>
          </cell>
        </row>
        <row r="545">
          <cell r="U545">
            <v>2966808.95</v>
          </cell>
        </row>
        <row r="546">
          <cell r="U546">
            <v>2969828.61</v>
          </cell>
        </row>
        <row r="547">
          <cell r="U547">
            <v>2966808.96</v>
          </cell>
        </row>
        <row r="548">
          <cell r="U548">
            <v>2960769.65</v>
          </cell>
        </row>
        <row r="549">
          <cell r="U549">
            <v>2969828.61</v>
          </cell>
        </row>
        <row r="550">
          <cell r="U550">
            <v>3051359.24</v>
          </cell>
        </row>
        <row r="551">
          <cell r="U551">
            <v>2971338.43</v>
          </cell>
        </row>
        <row r="552">
          <cell r="U552">
            <v>3043810.1</v>
          </cell>
        </row>
        <row r="553">
          <cell r="U553">
            <v>3043810.1</v>
          </cell>
        </row>
        <row r="554">
          <cell r="U554">
            <v>2980397.39</v>
          </cell>
        </row>
        <row r="555">
          <cell r="U555">
            <v>3036260.97</v>
          </cell>
        </row>
        <row r="556">
          <cell r="U556">
            <v>2955718.69</v>
          </cell>
        </row>
        <row r="557">
          <cell r="U557">
            <v>2939248.12</v>
          </cell>
        </row>
        <row r="558">
          <cell r="U558">
            <v>2960210.67</v>
          </cell>
        </row>
        <row r="559">
          <cell r="U559">
            <v>2957216.02</v>
          </cell>
        </row>
        <row r="560">
          <cell r="U560">
            <v>2946734.74</v>
          </cell>
        </row>
        <row r="561">
          <cell r="U561">
            <v>2939248.12</v>
          </cell>
        </row>
        <row r="562">
          <cell r="U562">
            <v>2942242.77</v>
          </cell>
        </row>
        <row r="563">
          <cell r="U563">
            <v>3002598.64</v>
          </cell>
        </row>
        <row r="564">
          <cell r="U564">
            <v>3010019.78</v>
          </cell>
        </row>
        <row r="565">
          <cell r="U565">
            <v>3048609.8</v>
          </cell>
        </row>
        <row r="566">
          <cell r="U566">
            <v>3044157.1</v>
          </cell>
        </row>
        <row r="567">
          <cell r="U567">
            <v>3012988.26</v>
          </cell>
        </row>
        <row r="568">
          <cell r="U568">
            <v>3035251.71</v>
          </cell>
        </row>
        <row r="569">
          <cell r="U569">
            <v>3012988.26</v>
          </cell>
        </row>
        <row r="570">
          <cell r="U570">
            <v>3042672.87</v>
          </cell>
        </row>
        <row r="571">
          <cell r="U571">
            <v>3048609.8</v>
          </cell>
        </row>
        <row r="572">
          <cell r="U572">
            <v>3038220.17</v>
          </cell>
        </row>
        <row r="573">
          <cell r="U573">
            <v>3048609.68</v>
          </cell>
        </row>
        <row r="574">
          <cell r="U574">
            <v>3044157</v>
          </cell>
        </row>
        <row r="575">
          <cell r="U575">
            <v>3042672.78</v>
          </cell>
        </row>
        <row r="576">
          <cell r="U576">
            <v>3029314.69</v>
          </cell>
        </row>
        <row r="577">
          <cell r="U577">
            <v>3042672.78</v>
          </cell>
        </row>
        <row r="578">
          <cell r="U578">
            <v>3051578.15</v>
          </cell>
        </row>
        <row r="579">
          <cell r="U579">
            <v>3021893.54</v>
          </cell>
        </row>
        <row r="580">
          <cell r="U580">
            <v>3051578.15</v>
          </cell>
        </row>
        <row r="581">
          <cell r="U581">
            <v>3047125.45</v>
          </cell>
        </row>
        <row r="582">
          <cell r="U582">
            <v>3047125.45</v>
          </cell>
        </row>
        <row r="583">
          <cell r="U583">
            <v>3050093.93</v>
          </cell>
        </row>
        <row r="584">
          <cell r="U584">
            <v>3048609.68</v>
          </cell>
        </row>
        <row r="585">
          <cell r="U585">
            <v>3045641.22</v>
          </cell>
        </row>
        <row r="586">
          <cell r="U586">
            <v>3045641.22</v>
          </cell>
        </row>
        <row r="587">
          <cell r="U587">
            <v>3050093.93</v>
          </cell>
        </row>
        <row r="588">
          <cell r="U588">
            <v>3045641.22</v>
          </cell>
        </row>
        <row r="589">
          <cell r="U589">
            <v>3045641.22</v>
          </cell>
        </row>
        <row r="590">
          <cell r="U590">
            <v>3044157</v>
          </cell>
        </row>
        <row r="591">
          <cell r="U591">
            <v>3045641.22</v>
          </cell>
        </row>
        <row r="592">
          <cell r="U592">
            <v>3027439.81</v>
          </cell>
        </row>
        <row r="593">
          <cell r="U593">
            <v>3025965.14</v>
          </cell>
        </row>
        <row r="594">
          <cell r="U594">
            <v>3027439.81</v>
          </cell>
        </row>
        <row r="595">
          <cell r="U595">
            <v>3027439.81</v>
          </cell>
        </row>
        <row r="596">
          <cell r="U596">
            <v>3025965.14</v>
          </cell>
        </row>
        <row r="597">
          <cell r="U597">
            <v>3025965.14</v>
          </cell>
        </row>
        <row r="598">
          <cell r="U598">
            <v>3024490.5</v>
          </cell>
        </row>
        <row r="599">
          <cell r="U599">
            <v>3025965.25</v>
          </cell>
        </row>
        <row r="600">
          <cell r="U600">
            <v>3018592.06</v>
          </cell>
        </row>
        <row r="601">
          <cell r="U601">
            <v>3028914.53</v>
          </cell>
        </row>
        <row r="602">
          <cell r="U602">
            <v>3027439.81</v>
          </cell>
        </row>
        <row r="603">
          <cell r="U603">
            <v>3023015.87</v>
          </cell>
        </row>
        <row r="604">
          <cell r="U604">
            <v>3023015.87</v>
          </cell>
        </row>
        <row r="605">
          <cell r="U605">
            <v>3015642.66</v>
          </cell>
        </row>
        <row r="606">
          <cell r="U606">
            <v>3030389.19</v>
          </cell>
        </row>
        <row r="607">
          <cell r="U607">
            <v>3028914.53</v>
          </cell>
        </row>
        <row r="608">
          <cell r="U608">
            <v>3027439.9</v>
          </cell>
        </row>
        <row r="609">
          <cell r="U609">
            <v>3023015.98</v>
          </cell>
        </row>
        <row r="610">
          <cell r="U610">
            <v>3021541.32</v>
          </cell>
        </row>
        <row r="611">
          <cell r="U611">
            <v>3020066.68</v>
          </cell>
        </row>
        <row r="612">
          <cell r="U612">
            <v>3033338.47</v>
          </cell>
        </row>
        <row r="613">
          <cell r="U613">
            <v>3024490.61</v>
          </cell>
        </row>
        <row r="614">
          <cell r="U614">
            <v>3028914.53</v>
          </cell>
        </row>
        <row r="615">
          <cell r="U615">
            <v>3025965.25</v>
          </cell>
        </row>
        <row r="616">
          <cell r="U616">
            <v>3018592.06</v>
          </cell>
        </row>
        <row r="617">
          <cell r="U617">
            <v>3007754.23</v>
          </cell>
        </row>
        <row r="618">
          <cell r="U618">
            <v>3006289.17</v>
          </cell>
        </row>
        <row r="619">
          <cell r="U619">
            <v>3006289.17</v>
          </cell>
        </row>
        <row r="620">
          <cell r="U620">
            <v>3006289.17</v>
          </cell>
        </row>
        <row r="621">
          <cell r="U621">
            <v>3112188.96</v>
          </cell>
        </row>
        <row r="622">
          <cell r="U622">
            <v>3013614.44</v>
          </cell>
        </row>
        <row r="623">
          <cell r="U623">
            <v>3003359.07</v>
          </cell>
        </row>
        <row r="624">
          <cell r="U624">
            <v>3110675.23</v>
          </cell>
        </row>
        <row r="625">
          <cell r="U625">
            <v>3118243.78</v>
          </cell>
        </row>
        <row r="626">
          <cell r="U626">
            <v>3113702.64</v>
          </cell>
        </row>
        <row r="627">
          <cell r="U627">
            <v>3116730.09</v>
          </cell>
        </row>
        <row r="628">
          <cell r="U628">
            <v>3110675.23</v>
          </cell>
        </row>
        <row r="629">
          <cell r="U629">
            <v>3115216.36</v>
          </cell>
        </row>
        <row r="630">
          <cell r="U630">
            <v>3110675.23</v>
          </cell>
        </row>
        <row r="631">
          <cell r="U631">
            <v>3113702.64</v>
          </cell>
        </row>
        <row r="632">
          <cell r="U632">
            <v>3109161.51</v>
          </cell>
        </row>
        <row r="633">
          <cell r="U633">
            <v>3110675.23</v>
          </cell>
        </row>
        <row r="634">
          <cell r="U634">
            <v>3110675.23</v>
          </cell>
        </row>
        <row r="635">
          <cell r="U635">
            <v>3113702.64</v>
          </cell>
        </row>
        <row r="636">
          <cell r="U636">
            <v>3109161.51</v>
          </cell>
        </row>
        <row r="637">
          <cell r="U637">
            <v>3109161.51</v>
          </cell>
        </row>
        <row r="638">
          <cell r="U638">
            <v>3112188.96</v>
          </cell>
        </row>
        <row r="639">
          <cell r="U639">
            <v>3138127.84</v>
          </cell>
        </row>
        <row r="640">
          <cell r="U640">
            <v>3133548.86</v>
          </cell>
        </row>
        <row r="641">
          <cell r="U641">
            <v>3130496.2</v>
          </cell>
        </row>
        <row r="642">
          <cell r="U642">
            <v>3128969.87</v>
          </cell>
        </row>
        <row r="643">
          <cell r="U643">
            <v>3133548.86</v>
          </cell>
        </row>
        <row r="644">
          <cell r="U644">
            <v>3132022.53</v>
          </cell>
        </row>
        <row r="645">
          <cell r="U645">
            <v>3137249</v>
          </cell>
        </row>
        <row r="646">
          <cell r="U646">
            <v>3135720.87</v>
          </cell>
        </row>
        <row r="647">
          <cell r="U647">
            <v>3138777.13</v>
          </cell>
        </row>
        <row r="648">
          <cell r="U648">
            <v>3137249</v>
          </cell>
        </row>
        <row r="649">
          <cell r="U649">
            <v>3138777.13</v>
          </cell>
        </row>
        <row r="650">
          <cell r="U650">
            <v>3134192.73</v>
          </cell>
        </row>
        <row r="651">
          <cell r="U651">
            <v>3134192.73</v>
          </cell>
        </row>
        <row r="652">
          <cell r="U652">
            <v>3137249</v>
          </cell>
        </row>
        <row r="653">
          <cell r="U653">
            <v>3138776.93</v>
          </cell>
        </row>
        <row r="654">
          <cell r="U654">
            <v>3140305.08</v>
          </cell>
        </row>
        <row r="655">
          <cell r="U655">
            <v>3141833.19</v>
          </cell>
        </row>
        <row r="656">
          <cell r="U656">
            <v>3132664.44</v>
          </cell>
        </row>
        <row r="657">
          <cell r="U657">
            <v>3138776.93</v>
          </cell>
        </row>
        <row r="658">
          <cell r="U658">
            <v>3138776.93</v>
          </cell>
        </row>
        <row r="659">
          <cell r="U659">
            <v>3143361.32</v>
          </cell>
        </row>
        <row r="660">
          <cell r="U660">
            <v>3325201.31</v>
          </cell>
        </row>
        <row r="661">
          <cell r="U661">
            <v>3320127.25</v>
          </cell>
        </row>
        <row r="662">
          <cell r="U662">
            <v>3137248.82</v>
          </cell>
        </row>
        <row r="663">
          <cell r="U663">
            <v>3130385.57</v>
          </cell>
        </row>
        <row r="664">
          <cell r="U664">
            <v>3323509.95</v>
          </cell>
        </row>
        <row r="665">
          <cell r="U665">
            <v>3133429.22</v>
          </cell>
        </row>
        <row r="666">
          <cell r="U666">
            <v>3326892.66</v>
          </cell>
        </row>
        <row r="667">
          <cell r="U667">
            <v>3049898.05</v>
          </cell>
        </row>
        <row r="668">
          <cell r="U668">
            <v>3293065.59</v>
          </cell>
        </row>
        <row r="669">
          <cell r="U669">
            <v>3055849.07</v>
          </cell>
        </row>
        <row r="670">
          <cell r="U670">
            <v>3052873.56</v>
          </cell>
        </row>
        <row r="671">
          <cell r="U671">
            <v>3054361.3</v>
          </cell>
        </row>
        <row r="672">
          <cell r="U672">
            <v>3063287.84</v>
          </cell>
        </row>
        <row r="673">
          <cell r="U673">
            <v>3055849.07</v>
          </cell>
        </row>
        <row r="674">
          <cell r="U674">
            <v>3063287.84</v>
          </cell>
        </row>
        <row r="675">
          <cell r="U675">
            <v>3049898.05</v>
          </cell>
        </row>
        <row r="676">
          <cell r="U676">
            <v>2975819.31</v>
          </cell>
        </row>
        <row r="677">
          <cell r="U677">
            <v>2983402.94</v>
          </cell>
        </row>
        <row r="678">
          <cell r="U678">
            <v>2977336.03</v>
          </cell>
        </row>
        <row r="679">
          <cell r="U679">
            <v>3054361.3</v>
          </cell>
        </row>
        <row r="680">
          <cell r="U680">
            <v>2975819.31</v>
          </cell>
        </row>
        <row r="681">
          <cell r="U681">
            <v>3064575.74</v>
          </cell>
        </row>
        <row r="682">
          <cell r="U682">
            <v>2978852.76</v>
          </cell>
        </row>
        <row r="683">
          <cell r="U683">
            <v>2926267.45</v>
          </cell>
        </row>
        <row r="684">
          <cell r="U684">
            <v>2808762.8</v>
          </cell>
        </row>
        <row r="685">
          <cell r="U685">
            <v>-2808762.8</v>
          </cell>
        </row>
        <row r="686">
          <cell r="U686">
            <v>2921993.46</v>
          </cell>
        </row>
        <row r="687">
          <cell r="U687">
            <v>2914870.12</v>
          </cell>
        </row>
        <row r="688">
          <cell r="U688">
            <v>2912020.78</v>
          </cell>
        </row>
        <row r="689">
          <cell r="U689">
            <v>3067558.3</v>
          </cell>
        </row>
        <row r="690">
          <cell r="U690">
            <v>2926267.45</v>
          </cell>
        </row>
        <row r="691">
          <cell r="U691">
            <v>3066067.03</v>
          </cell>
        </row>
        <row r="692">
          <cell r="U692">
            <v>3064575.74</v>
          </cell>
        </row>
        <row r="693">
          <cell r="U693">
            <v>3066067.03</v>
          </cell>
        </row>
        <row r="694">
          <cell r="U694">
            <v>3063084.46</v>
          </cell>
        </row>
        <row r="695">
          <cell r="U695">
            <v>3060101.89</v>
          </cell>
        </row>
        <row r="696">
          <cell r="U696">
            <v>2981886.22</v>
          </cell>
        </row>
        <row r="697">
          <cell r="U697">
            <v>3064575.74</v>
          </cell>
        </row>
        <row r="698">
          <cell r="U698">
            <v>2977336.03</v>
          </cell>
        </row>
        <row r="699">
          <cell r="U699">
            <v>3066067.03</v>
          </cell>
        </row>
        <row r="700">
          <cell r="U700">
            <v>3066067.03</v>
          </cell>
        </row>
        <row r="701">
          <cell r="U701">
            <v>2980369.49</v>
          </cell>
        </row>
        <row r="702">
          <cell r="U702">
            <v>2977336.03</v>
          </cell>
        </row>
        <row r="703">
          <cell r="U703">
            <v>3064575.74</v>
          </cell>
        </row>
        <row r="704">
          <cell r="U704">
            <v>2983402.94</v>
          </cell>
        </row>
        <row r="705">
          <cell r="U705">
            <v>2924842.55</v>
          </cell>
        </row>
        <row r="706">
          <cell r="U706">
            <v>2924842.55</v>
          </cell>
        </row>
        <row r="707">
          <cell r="U707">
            <v>2926267.19</v>
          </cell>
        </row>
        <row r="708">
          <cell r="U708">
            <v>2923417.87</v>
          </cell>
        </row>
        <row r="709">
          <cell r="U709">
            <v>2924842.55</v>
          </cell>
        </row>
        <row r="710">
          <cell r="U710">
            <v>2924842.55</v>
          </cell>
        </row>
        <row r="711">
          <cell r="U711">
            <v>2923417.87</v>
          </cell>
        </row>
        <row r="712">
          <cell r="U712">
            <v>2926267.19</v>
          </cell>
        </row>
        <row r="713">
          <cell r="U713">
            <v>2921993.2</v>
          </cell>
        </row>
        <row r="714">
          <cell r="U714">
            <v>2931965.96</v>
          </cell>
        </row>
        <row r="715">
          <cell r="U715">
            <v>2923417.87</v>
          </cell>
        </row>
        <row r="716">
          <cell r="U716">
            <v>2929116.62</v>
          </cell>
        </row>
        <row r="717">
          <cell r="U717">
            <v>2923417.95</v>
          </cell>
        </row>
        <row r="718">
          <cell r="U718">
            <v>2926267.28</v>
          </cell>
        </row>
        <row r="719">
          <cell r="U719">
            <v>2930541.29</v>
          </cell>
        </row>
        <row r="720">
          <cell r="U720">
            <v>2929116.62</v>
          </cell>
        </row>
        <row r="721">
          <cell r="U721">
            <v>2931965.96</v>
          </cell>
        </row>
        <row r="722">
          <cell r="U722">
            <v>2930541.29</v>
          </cell>
        </row>
        <row r="723">
          <cell r="U723">
            <v>2926267.28</v>
          </cell>
        </row>
        <row r="724">
          <cell r="U724">
            <v>2929116.62</v>
          </cell>
        </row>
        <row r="725">
          <cell r="U725">
            <v>2927691.94</v>
          </cell>
        </row>
        <row r="726">
          <cell r="U726">
            <v>2927691.94</v>
          </cell>
        </row>
        <row r="727">
          <cell r="U727">
            <v>2929116.62</v>
          </cell>
        </row>
        <row r="728">
          <cell r="U728">
            <v>2933390.62</v>
          </cell>
        </row>
        <row r="729">
          <cell r="U729">
            <v>2948518.21</v>
          </cell>
        </row>
        <row r="730">
          <cell r="U730">
            <v>2924842.62</v>
          </cell>
        </row>
        <row r="731">
          <cell r="U731">
            <v>2981886.22</v>
          </cell>
        </row>
        <row r="732">
          <cell r="U732">
            <v>2981886.22</v>
          </cell>
        </row>
        <row r="733">
          <cell r="U733">
            <v>2987953.13</v>
          </cell>
        </row>
        <row r="734">
          <cell r="U734">
            <v>2980369.49</v>
          </cell>
        </row>
        <row r="735">
          <cell r="U735">
            <v>2975819.31</v>
          </cell>
        </row>
        <row r="736">
          <cell r="U736">
            <v>2978852.76</v>
          </cell>
        </row>
        <row r="737">
          <cell r="U737">
            <v>2947001.48</v>
          </cell>
        </row>
        <row r="738">
          <cell r="U738">
            <v>3028981.74</v>
          </cell>
        </row>
        <row r="739">
          <cell r="U739">
            <v>2978852.76</v>
          </cell>
        </row>
        <row r="740">
          <cell r="U740">
            <v>3033414.38</v>
          </cell>
        </row>
        <row r="741">
          <cell r="U741">
            <v>2942451.3</v>
          </cell>
        </row>
        <row r="742">
          <cell r="U742">
            <v>3034891.94</v>
          </cell>
        </row>
        <row r="743">
          <cell r="U743">
            <v>3033414.38</v>
          </cell>
        </row>
        <row r="744">
          <cell r="U744">
            <v>3031936.85</v>
          </cell>
        </row>
        <row r="745">
          <cell r="U745">
            <v>3028981.74</v>
          </cell>
        </row>
        <row r="746">
          <cell r="U746">
            <v>3024549.07</v>
          </cell>
        </row>
        <row r="747">
          <cell r="U747">
            <v>3036369.51</v>
          </cell>
        </row>
        <row r="748">
          <cell r="U748">
            <v>3036356.43</v>
          </cell>
        </row>
        <row r="749">
          <cell r="U749">
            <v>2828914.22</v>
          </cell>
        </row>
        <row r="750">
          <cell r="U750">
            <v>3046734.6</v>
          </cell>
        </row>
        <row r="751">
          <cell r="U751">
            <v>2830292.15</v>
          </cell>
        </row>
        <row r="752">
          <cell r="U752">
            <v>2827536.28</v>
          </cell>
        </row>
        <row r="753">
          <cell r="U753">
            <v>2831670.1</v>
          </cell>
        </row>
        <row r="754">
          <cell r="U754">
            <v>2921130.26</v>
          </cell>
        </row>
        <row r="755">
          <cell r="U755">
            <v>2827536.28</v>
          </cell>
        </row>
        <row r="756">
          <cell r="U756">
            <v>2827536.28</v>
          </cell>
        </row>
        <row r="757">
          <cell r="U757">
            <v>2826158.33</v>
          </cell>
        </row>
        <row r="758">
          <cell r="U758">
            <v>2827536.28</v>
          </cell>
        </row>
        <row r="759">
          <cell r="U759">
            <v>2830292.15</v>
          </cell>
        </row>
        <row r="760">
          <cell r="U760">
            <v>2833048.04</v>
          </cell>
        </row>
        <row r="761">
          <cell r="U761">
            <v>2922555.2</v>
          </cell>
        </row>
        <row r="762">
          <cell r="U762">
            <v>2926830.02</v>
          </cell>
        </row>
        <row r="763">
          <cell r="U763">
            <v>2922555.2</v>
          </cell>
        </row>
        <row r="764">
          <cell r="U764">
            <v>2927060.38</v>
          </cell>
        </row>
        <row r="765">
          <cell r="U765">
            <v>2921357.4</v>
          </cell>
        </row>
        <row r="766">
          <cell r="U766">
            <v>2918505.89</v>
          </cell>
        </row>
        <row r="767">
          <cell r="U767">
            <v>2921357.4</v>
          </cell>
        </row>
        <row r="768">
          <cell r="U768">
            <v>2924208.87</v>
          </cell>
        </row>
        <row r="769">
          <cell r="U769">
            <v>2925634.7</v>
          </cell>
        </row>
        <row r="770">
          <cell r="U770">
            <v>2925634.62</v>
          </cell>
        </row>
        <row r="771">
          <cell r="U771">
            <v>2927060.44</v>
          </cell>
        </row>
        <row r="772">
          <cell r="U772">
            <v>2925634.7</v>
          </cell>
        </row>
        <row r="773">
          <cell r="U773">
            <v>2931337.7</v>
          </cell>
        </row>
        <row r="774">
          <cell r="U774">
            <v>2925634.7</v>
          </cell>
        </row>
        <row r="775">
          <cell r="U775">
            <v>2928486.19</v>
          </cell>
        </row>
        <row r="776">
          <cell r="U776">
            <v>2924208.94</v>
          </cell>
        </row>
        <row r="777">
          <cell r="U777">
            <v>2929911.95</v>
          </cell>
        </row>
        <row r="778">
          <cell r="U778">
            <v>2929911.95</v>
          </cell>
        </row>
        <row r="779">
          <cell r="U779">
            <v>2934653.12</v>
          </cell>
        </row>
        <row r="780">
          <cell r="U780">
            <v>2930371.22</v>
          </cell>
        </row>
        <row r="781">
          <cell r="U781">
            <v>2933225.95</v>
          </cell>
        </row>
        <row r="782">
          <cell r="U782">
            <v>2931798.57</v>
          </cell>
        </row>
        <row r="783">
          <cell r="U783">
            <v>2936080.65</v>
          </cell>
        </row>
        <row r="784">
          <cell r="U784">
            <v>2940362.75</v>
          </cell>
        </row>
        <row r="785">
          <cell r="U785">
            <v>2933225.95</v>
          </cell>
        </row>
        <row r="786">
          <cell r="U786">
            <v>2937508.03</v>
          </cell>
        </row>
        <row r="787">
          <cell r="U787">
            <v>2879003.92</v>
          </cell>
        </row>
        <row r="788">
          <cell r="U788">
            <v>2881809.97</v>
          </cell>
        </row>
        <row r="789">
          <cell r="U789">
            <v>2933225.95</v>
          </cell>
        </row>
        <row r="790">
          <cell r="U790">
            <v>2879003.92</v>
          </cell>
        </row>
        <row r="791">
          <cell r="U791">
            <v>2877600.9</v>
          </cell>
        </row>
        <row r="792">
          <cell r="U792">
            <v>2881809.97</v>
          </cell>
        </row>
        <row r="793">
          <cell r="U793">
            <v>2881809.97</v>
          </cell>
        </row>
        <row r="794">
          <cell r="U794">
            <v>2887871.92</v>
          </cell>
        </row>
        <row r="795">
          <cell r="U795">
            <v>2889276.54</v>
          </cell>
        </row>
        <row r="796">
          <cell r="U796">
            <v>2886467.32</v>
          </cell>
        </row>
        <row r="797">
          <cell r="U797">
            <v>2880848.88</v>
          </cell>
        </row>
        <row r="798">
          <cell r="U798">
            <v>2879444.19</v>
          </cell>
        </row>
        <row r="799">
          <cell r="U799">
            <v>2882253.39</v>
          </cell>
        </row>
        <row r="800">
          <cell r="U800">
            <v>2887871.82</v>
          </cell>
        </row>
        <row r="801">
          <cell r="U801">
            <v>2885062.62</v>
          </cell>
        </row>
        <row r="802">
          <cell r="U802">
            <v>2887871.82</v>
          </cell>
        </row>
        <row r="803">
          <cell r="U803">
            <v>2878039.58</v>
          </cell>
        </row>
        <row r="804">
          <cell r="U804">
            <v>2890681.04</v>
          </cell>
        </row>
        <row r="805">
          <cell r="U805">
            <v>2880848.81</v>
          </cell>
        </row>
        <row r="806">
          <cell r="U806">
            <v>2882253.39</v>
          </cell>
        </row>
        <row r="807">
          <cell r="U807">
            <v>2883658.01</v>
          </cell>
        </row>
        <row r="808">
          <cell r="U808">
            <v>2887871.87</v>
          </cell>
        </row>
        <row r="809">
          <cell r="U809">
            <v>2878039.63</v>
          </cell>
        </row>
        <row r="810">
          <cell r="U810">
            <v>2883658.06</v>
          </cell>
        </row>
        <row r="811">
          <cell r="U811">
            <v>2879444.24</v>
          </cell>
        </row>
        <row r="812">
          <cell r="U812">
            <v>2885062.67</v>
          </cell>
        </row>
        <row r="813">
          <cell r="U813">
            <v>2883878.23</v>
          </cell>
        </row>
        <row r="814">
          <cell r="U814">
            <v>2886689.04</v>
          </cell>
        </row>
        <row r="815">
          <cell r="U815">
            <v>2879662.02</v>
          </cell>
        </row>
        <row r="816">
          <cell r="U816">
            <v>2978738.03</v>
          </cell>
        </row>
        <row r="817">
          <cell r="U817">
            <v>2881067.43</v>
          </cell>
        </row>
        <row r="818">
          <cell r="U818">
            <v>2970053.65</v>
          </cell>
        </row>
        <row r="819">
          <cell r="U819">
            <v>2882472.84</v>
          </cell>
        </row>
        <row r="820">
          <cell r="U820">
            <v>2964264.09</v>
          </cell>
        </row>
        <row r="821">
          <cell r="U821">
            <v>2974395.86</v>
          </cell>
        </row>
        <row r="822">
          <cell r="U822">
            <v>2975843.24</v>
          </cell>
        </row>
        <row r="823">
          <cell r="U823">
            <v>2961369.28</v>
          </cell>
        </row>
        <row r="824">
          <cell r="U824">
            <v>2968606.27</v>
          </cell>
        </row>
        <row r="825">
          <cell r="U825">
            <v>2975843.24</v>
          </cell>
        </row>
        <row r="826">
          <cell r="U826">
            <v>2974395.86</v>
          </cell>
        </row>
        <row r="827">
          <cell r="U827">
            <v>2975843.28</v>
          </cell>
        </row>
        <row r="828">
          <cell r="U828">
            <v>2972948.45</v>
          </cell>
        </row>
        <row r="829">
          <cell r="U829">
            <v>2970053.69</v>
          </cell>
        </row>
        <row r="830">
          <cell r="U830">
            <v>2974395.9</v>
          </cell>
        </row>
        <row r="831">
          <cell r="U831">
            <v>2977290.67</v>
          </cell>
        </row>
        <row r="832">
          <cell r="U832">
            <v>2980185.46</v>
          </cell>
        </row>
        <row r="833">
          <cell r="U833">
            <v>2980185.46</v>
          </cell>
        </row>
        <row r="834">
          <cell r="U834">
            <v>2974395.9</v>
          </cell>
        </row>
        <row r="835">
          <cell r="U835">
            <v>2980185.46</v>
          </cell>
        </row>
        <row r="836">
          <cell r="U836">
            <v>2967158.93</v>
          </cell>
        </row>
        <row r="837">
          <cell r="U837">
            <v>2961369.32</v>
          </cell>
        </row>
        <row r="838">
          <cell r="U838">
            <v>2970053.69</v>
          </cell>
        </row>
        <row r="839">
          <cell r="U839">
            <v>2970053.69</v>
          </cell>
        </row>
        <row r="840">
          <cell r="U840">
            <v>2977290.67</v>
          </cell>
        </row>
        <row r="841">
          <cell r="U841">
            <v>2975843.28</v>
          </cell>
        </row>
        <row r="842">
          <cell r="U842">
            <v>2972948.49</v>
          </cell>
        </row>
        <row r="843">
          <cell r="U843">
            <v>2971501.1</v>
          </cell>
        </row>
        <row r="844">
          <cell r="U844">
            <v>2966701.78</v>
          </cell>
        </row>
        <row r="845">
          <cell r="U845">
            <v>2963810.27</v>
          </cell>
        </row>
        <row r="846">
          <cell r="U846">
            <v>2973930.58</v>
          </cell>
        </row>
        <row r="847">
          <cell r="U847">
            <v>3062335.28</v>
          </cell>
        </row>
        <row r="848">
          <cell r="U848">
            <v>3060776.05</v>
          </cell>
        </row>
        <row r="849">
          <cell r="U849">
            <v>3056098.35</v>
          </cell>
        </row>
        <row r="850">
          <cell r="U850">
            <v>3031150.6</v>
          </cell>
        </row>
        <row r="851">
          <cell r="U851">
            <v>3057657.58</v>
          </cell>
        </row>
        <row r="852">
          <cell r="U852">
            <v>2965256.03</v>
          </cell>
        </row>
        <row r="853">
          <cell r="U853">
            <v>3137178.51</v>
          </cell>
        </row>
        <row r="854">
          <cell r="U854">
            <v>3043624.48</v>
          </cell>
        </row>
        <row r="855">
          <cell r="U855">
            <v>3060776.05</v>
          </cell>
        </row>
        <row r="856">
          <cell r="U856">
            <v>-3126263.87</v>
          </cell>
        </row>
        <row r="857">
          <cell r="U857">
            <v>3126263.87</v>
          </cell>
        </row>
        <row r="858">
          <cell r="U858">
            <v>-3065453.75</v>
          </cell>
        </row>
        <row r="859">
          <cell r="U859">
            <v>3060806.25</v>
          </cell>
        </row>
        <row r="860">
          <cell r="U860">
            <v>3053351.78</v>
          </cell>
        </row>
        <row r="861">
          <cell r="U861">
            <v>3050415.09</v>
          </cell>
        </row>
        <row r="862">
          <cell r="U862">
            <v>3065453.75</v>
          </cell>
        </row>
        <row r="863">
          <cell r="U863">
            <v>3126263.87</v>
          </cell>
        </row>
        <row r="864">
          <cell r="U864">
            <v>3065453.75</v>
          </cell>
        </row>
        <row r="865">
          <cell r="U865">
            <v>3050415.09</v>
          </cell>
        </row>
        <row r="866">
          <cell r="U866">
            <v>3045957.58</v>
          </cell>
        </row>
        <row r="867">
          <cell r="U867">
            <v>3072216.49</v>
          </cell>
        </row>
        <row r="868">
          <cell r="U868">
            <v>3070722.23</v>
          </cell>
        </row>
        <row r="869">
          <cell r="U869">
            <v>3050415.08</v>
          </cell>
        </row>
        <row r="870">
          <cell r="U870">
            <v>3047443.42</v>
          </cell>
        </row>
        <row r="871">
          <cell r="U871">
            <v>907847.47</v>
          </cell>
        </row>
        <row r="872">
          <cell r="U872">
            <v>907847.47</v>
          </cell>
        </row>
        <row r="873">
          <cell r="U873">
            <v>907847.47</v>
          </cell>
        </row>
        <row r="874">
          <cell r="U874">
            <v>907847.47</v>
          </cell>
        </row>
        <row r="875">
          <cell r="U875">
            <v>907847.47</v>
          </cell>
        </row>
        <row r="876">
          <cell r="U876">
            <v>902243.34</v>
          </cell>
        </row>
        <row r="877">
          <cell r="U877">
            <v>967933.35</v>
          </cell>
        </row>
        <row r="878">
          <cell r="U878">
            <v>960261.93</v>
          </cell>
        </row>
        <row r="879">
          <cell r="U879">
            <v>960261.64</v>
          </cell>
        </row>
        <row r="880">
          <cell r="U880">
            <v>960261.64</v>
          </cell>
        </row>
        <row r="881">
          <cell r="U881">
            <v>960261.93</v>
          </cell>
        </row>
        <row r="882">
          <cell r="U882">
            <v>721250.13</v>
          </cell>
        </row>
        <row r="883">
          <cell r="U883">
            <v>721250.13</v>
          </cell>
        </row>
        <row r="884">
          <cell r="U884">
            <v>721250.69</v>
          </cell>
        </row>
        <row r="885">
          <cell r="U885">
            <v>721250.69</v>
          </cell>
        </row>
        <row r="886">
          <cell r="U886">
            <v>721250.13</v>
          </cell>
        </row>
        <row r="887">
          <cell r="U887">
            <v>721250.6</v>
          </cell>
        </row>
        <row r="888">
          <cell r="U888">
            <v>721250.6</v>
          </cell>
        </row>
        <row r="889">
          <cell r="U889">
            <v>720052.31</v>
          </cell>
        </row>
        <row r="890">
          <cell r="U890">
            <v>720052.31</v>
          </cell>
        </row>
        <row r="891">
          <cell r="U891">
            <v>720052.31</v>
          </cell>
        </row>
        <row r="892">
          <cell r="U892">
            <v>720052.31</v>
          </cell>
        </row>
        <row r="893">
          <cell r="U893">
            <v>725244.79</v>
          </cell>
        </row>
        <row r="894">
          <cell r="U894">
            <v>725244.5</v>
          </cell>
        </row>
        <row r="895">
          <cell r="U895">
            <v>725244.5</v>
          </cell>
        </row>
        <row r="896">
          <cell r="U896">
            <v>725244.79</v>
          </cell>
        </row>
        <row r="897">
          <cell r="U897">
            <v>725244.5</v>
          </cell>
        </row>
        <row r="898">
          <cell r="U898">
            <v>726442.53</v>
          </cell>
        </row>
        <row r="899">
          <cell r="U899">
            <v>726442.53</v>
          </cell>
        </row>
        <row r="900">
          <cell r="U900">
            <v>726442.53</v>
          </cell>
        </row>
        <row r="901">
          <cell r="U901">
            <v>690580.78</v>
          </cell>
        </row>
        <row r="902">
          <cell r="U902">
            <v>690581.06</v>
          </cell>
        </row>
        <row r="903">
          <cell r="U903">
            <v>690581.06</v>
          </cell>
        </row>
        <row r="904">
          <cell r="U904">
            <v>690580.78</v>
          </cell>
        </row>
        <row r="905">
          <cell r="U905">
            <v>690581.06</v>
          </cell>
        </row>
        <row r="906">
          <cell r="U906">
            <v>690581.27</v>
          </cell>
        </row>
        <row r="907">
          <cell r="U907">
            <v>690581.27</v>
          </cell>
        </row>
        <row r="908">
          <cell r="U908">
            <v>690580.57</v>
          </cell>
        </row>
        <row r="909">
          <cell r="U909">
            <v>690581.27</v>
          </cell>
        </row>
        <row r="910">
          <cell r="U910">
            <v>690580.57</v>
          </cell>
        </row>
        <row r="911">
          <cell r="U911">
            <v>687561.18</v>
          </cell>
        </row>
        <row r="912">
          <cell r="U912">
            <v>6405773.3700000001</v>
          </cell>
        </row>
        <row r="913">
          <cell r="U913">
            <v>6322788.3700000001</v>
          </cell>
        </row>
        <row r="914">
          <cell r="U914">
            <v>6230832.0700000003</v>
          </cell>
        </row>
        <row r="915">
          <cell r="U915">
            <v>5660782.8499999996</v>
          </cell>
        </row>
        <row r="916">
          <cell r="U916">
            <v>5747163.0499999998</v>
          </cell>
        </row>
        <row r="917">
          <cell r="U917">
            <v>5801378.9900000002</v>
          </cell>
        </row>
        <row r="918">
          <cell r="U918">
            <v>5616352.9900000002</v>
          </cell>
        </row>
        <row r="919">
          <cell r="U919">
            <v>5686302.3899999997</v>
          </cell>
        </row>
        <row r="920">
          <cell r="U920">
            <v>5685863.4900000002</v>
          </cell>
        </row>
        <row r="921">
          <cell r="U921">
            <v>5697473.21</v>
          </cell>
        </row>
        <row r="922">
          <cell r="U922">
            <v>5711075.3099999996</v>
          </cell>
        </row>
        <row r="923">
          <cell r="U923">
            <v>5725622.0999999996</v>
          </cell>
        </row>
        <row r="924">
          <cell r="U924">
            <v>5699821.6699999999</v>
          </cell>
        </row>
        <row r="925">
          <cell r="U925">
            <v>5743643.9699999997</v>
          </cell>
        </row>
        <row r="926">
          <cell r="U926">
            <v>5810988.8600000003</v>
          </cell>
        </row>
        <row r="927">
          <cell r="U927">
            <v>5838665.8799999999</v>
          </cell>
        </row>
        <row r="928">
          <cell r="U928">
            <v>5664984</v>
          </cell>
        </row>
        <row r="929">
          <cell r="U929">
            <v>5800778.2999999998</v>
          </cell>
        </row>
        <row r="930">
          <cell r="U930">
            <v>5706311.46</v>
          </cell>
        </row>
        <row r="931">
          <cell r="U931">
            <v>5720776.9100000001</v>
          </cell>
        </row>
        <row r="932">
          <cell r="U932">
            <v>5884312.6200000001</v>
          </cell>
        </row>
        <row r="933">
          <cell r="U933">
            <v>9168679.9100000001</v>
          </cell>
        </row>
        <row r="934">
          <cell r="U934">
            <v>9324722.4100000001</v>
          </cell>
        </row>
        <row r="935">
          <cell r="U935">
            <v>9258522.8300000001</v>
          </cell>
        </row>
        <row r="936">
          <cell r="U936">
            <v>9116665.7300000004</v>
          </cell>
        </row>
        <row r="937">
          <cell r="U937">
            <v>9277865.7599999998</v>
          </cell>
        </row>
        <row r="938">
          <cell r="U938">
            <v>9614483.4700000007</v>
          </cell>
        </row>
        <row r="939">
          <cell r="U939">
            <v>9579204.5500000007</v>
          </cell>
        </row>
        <row r="940">
          <cell r="U940">
            <v>9592434.1500000004</v>
          </cell>
        </row>
        <row r="941">
          <cell r="U941">
            <v>9142155.4299999997</v>
          </cell>
        </row>
        <row r="942">
          <cell r="U942">
            <v>9127688.5099999998</v>
          </cell>
        </row>
        <row r="943">
          <cell r="U943">
            <v>9048821.1500000004</v>
          </cell>
        </row>
        <row r="944">
          <cell r="U944">
            <v>9186274.3599999994</v>
          </cell>
        </row>
        <row r="945">
          <cell r="U945">
            <v>9627321.7100000009</v>
          </cell>
        </row>
        <row r="946">
          <cell r="U946">
            <v>9548884.7899999991</v>
          </cell>
        </row>
        <row r="947">
          <cell r="U947">
            <v>9594589.5299999993</v>
          </cell>
        </row>
        <row r="948">
          <cell r="U948">
            <v>9602944.1899999995</v>
          </cell>
        </row>
        <row r="949">
          <cell r="U949">
            <v>9585361.3900000006</v>
          </cell>
        </row>
        <row r="950">
          <cell r="U950">
            <v>9585361.3900000006</v>
          </cell>
        </row>
        <row r="951">
          <cell r="U951">
            <v>9545230.8900000006</v>
          </cell>
        </row>
        <row r="952">
          <cell r="U952">
            <v>9577531.1999999993</v>
          </cell>
        </row>
        <row r="953">
          <cell r="U953">
            <v>9577420.2100000009</v>
          </cell>
        </row>
        <row r="954">
          <cell r="U954">
            <v>9566137.6899999995</v>
          </cell>
        </row>
        <row r="955">
          <cell r="U955">
            <v>9617157.0999999996</v>
          </cell>
        </row>
        <row r="956">
          <cell r="U956">
            <v>9608326.8100000005</v>
          </cell>
        </row>
        <row r="957">
          <cell r="U957">
            <v>10032492.92</v>
          </cell>
        </row>
        <row r="958">
          <cell r="U958">
            <v>10006781.76</v>
          </cell>
        </row>
        <row r="959">
          <cell r="U959">
            <v>10063711.539999999</v>
          </cell>
        </row>
        <row r="960">
          <cell r="U960">
            <v>10087925.199999999</v>
          </cell>
        </row>
        <row r="961">
          <cell r="U961">
            <v>10108120.439999999</v>
          </cell>
        </row>
        <row r="962">
          <cell r="U962">
            <v>10173013.5</v>
          </cell>
        </row>
        <row r="963">
          <cell r="U963">
            <v>10189707.67</v>
          </cell>
        </row>
        <row r="964">
          <cell r="U964">
            <v>10189950.199999999</v>
          </cell>
        </row>
        <row r="965">
          <cell r="U965">
            <v>10244090.91</v>
          </cell>
        </row>
        <row r="966">
          <cell r="U966">
            <v>10233611.02</v>
          </cell>
        </row>
        <row r="967">
          <cell r="U967">
            <v>10238739.07</v>
          </cell>
        </row>
        <row r="968">
          <cell r="U968">
            <v>10302359.390000001</v>
          </cell>
        </row>
        <row r="969">
          <cell r="U969">
            <v>9953346.8800000008</v>
          </cell>
        </row>
        <row r="970">
          <cell r="U970">
            <v>9939555.4199999999</v>
          </cell>
        </row>
        <row r="971">
          <cell r="U971">
            <v>9934958.2699999996</v>
          </cell>
        </row>
        <row r="972">
          <cell r="U972">
            <v>9969191.9000000004</v>
          </cell>
        </row>
        <row r="973">
          <cell r="U973">
            <v>9992660.8200000003</v>
          </cell>
        </row>
        <row r="974">
          <cell r="U974">
            <v>5481111.1100000003</v>
          </cell>
        </row>
        <row r="975">
          <cell r="U975">
            <v>5448898.4000000004</v>
          </cell>
        </row>
        <row r="976">
          <cell r="U976">
            <v>1477130</v>
          </cell>
        </row>
        <row r="977">
          <cell r="U977">
            <v>722705.76</v>
          </cell>
        </row>
        <row r="978">
          <cell r="U978">
            <v>8057892.21</v>
          </cell>
        </row>
        <row r="979">
          <cell r="U979">
            <v>8019575.0800000001</v>
          </cell>
        </row>
        <row r="980">
          <cell r="U980">
            <v>7618414.25</v>
          </cell>
        </row>
        <row r="981">
          <cell r="U981">
            <v>7940154.1699999999</v>
          </cell>
        </row>
        <row r="982">
          <cell r="U982">
            <v>7963680.6500000004</v>
          </cell>
        </row>
        <row r="983">
          <cell r="U983">
            <v>7278423.8600000003</v>
          </cell>
        </row>
        <row r="984">
          <cell r="U984">
            <v>416286.52</v>
          </cell>
        </row>
        <row r="985">
          <cell r="U985">
            <v>642647.64</v>
          </cell>
        </row>
        <row r="986">
          <cell r="U986">
            <v>765010.66</v>
          </cell>
        </row>
        <row r="987">
          <cell r="U987">
            <v>7246975.3099999996</v>
          </cell>
        </row>
        <row r="988">
          <cell r="U988">
            <v>7250597</v>
          </cell>
        </row>
        <row r="989">
          <cell r="U989">
            <v>6429515.2000000002</v>
          </cell>
        </row>
        <row r="990">
          <cell r="U990">
            <v>7016764.3600000003</v>
          </cell>
        </row>
        <row r="991">
          <cell r="U991">
            <v>6426294</v>
          </cell>
        </row>
        <row r="992">
          <cell r="U992">
            <v>5594400</v>
          </cell>
        </row>
        <row r="993">
          <cell r="U993">
            <v>6442400</v>
          </cell>
        </row>
        <row r="994">
          <cell r="U994">
            <v>6442400</v>
          </cell>
        </row>
        <row r="995">
          <cell r="U995">
            <v>6650341.4000000004</v>
          </cell>
        </row>
        <row r="996">
          <cell r="U996">
            <v>5586000</v>
          </cell>
        </row>
        <row r="997">
          <cell r="U997">
            <v>6650341.4000000004</v>
          </cell>
        </row>
        <row r="998">
          <cell r="U998">
            <v>5362000</v>
          </cell>
        </row>
        <row r="999">
          <cell r="U999">
            <v>7044748.4500000002</v>
          </cell>
        </row>
        <row r="1000">
          <cell r="U1000">
            <v>7041229.5800000001</v>
          </cell>
        </row>
        <row r="1001">
          <cell r="U1001">
            <v>5990400</v>
          </cell>
        </row>
        <row r="1002">
          <cell r="U1002">
            <v>5984409.5999999996</v>
          </cell>
        </row>
        <row r="1003">
          <cell r="U1003">
            <v>5978419.2000000002</v>
          </cell>
        </row>
        <row r="1004">
          <cell r="U1004">
            <v>5583200</v>
          </cell>
        </row>
        <row r="1005">
          <cell r="U1005">
            <v>7004881.6200000001</v>
          </cell>
        </row>
        <row r="1006">
          <cell r="U1006">
            <v>5188400</v>
          </cell>
        </row>
        <row r="1007">
          <cell r="U1007">
            <v>6647016.2400000002</v>
          </cell>
        </row>
        <row r="1008">
          <cell r="U1008">
            <v>6647016.2400000002</v>
          </cell>
        </row>
        <row r="1009">
          <cell r="U1009">
            <v>6650341.4000000004</v>
          </cell>
        </row>
        <row r="1010">
          <cell r="U1010">
            <v>4841200</v>
          </cell>
        </row>
        <row r="1011">
          <cell r="U1011">
            <v>6650341.4000000004</v>
          </cell>
        </row>
        <row r="1012">
          <cell r="U1012">
            <v>6554800.3600000003</v>
          </cell>
        </row>
        <row r="1013">
          <cell r="U1013">
            <v>5236000</v>
          </cell>
        </row>
        <row r="1014">
          <cell r="U1014">
            <v>6650341.4199999999</v>
          </cell>
        </row>
        <row r="1015">
          <cell r="U1015">
            <v>6650341.4199999999</v>
          </cell>
        </row>
        <row r="1016">
          <cell r="U1016">
            <v>5448800</v>
          </cell>
        </row>
        <row r="1017">
          <cell r="U1017">
            <v>6312850.7999999998</v>
          </cell>
        </row>
        <row r="1018">
          <cell r="U1018">
            <v>6260040.2400000002</v>
          </cell>
        </row>
        <row r="1019">
          <cell r="U1019">
            <v>6247545.1600000001</v>
          </cell>
        </row>
        <row r="1020">
          <cell r="U1020">
            <v>5479600</v>
          </cell>
        </row>
        <row r="1021">
          <cell r="U1021">
            <v>5307120</v>
          </cell>
        </row>
        <row r="1022">
          <cell r="U1022">
            <v>6312850.7999999998</v>
          </cell>
        </row>
        <row r="1023">
          <cell r="U1023">
            <v>6312850.7999999998</v>
          </cell>
        </row>
        <row r="1024">
          <cell r="U1024">
            <v>-6312850.7999999998</v>
          </cell>
        </row>
        <row r="1025">
          <cell r="U1025">
            <v>6312850.7999999998</v>
          </cell>
        </row>
        <row r="1026">
          <cell r="U1026">
            <v>6312850.7999999998</v>
          </cell>
        </row>
        <row r="1027">
          <cell r="U1027">
            <v>6697378.3399999999</v>
          </cell>
        </row>
        <row r="1028">
          <cell r="U1028">
            <v>6361338.4699999997</v>
          </cell>
        </row>
        <row r="1029">
          <cell r="U1029">
            <v>6809141.1200000001</v>
          </cell>
        </row>
        <row r="1030">
          <cell r="U1030">
            <v>5200490</v>
          </cell>
        </row>
        <row r="1031">
          <cell r="U1031">
            <v>5827930.0599999996</v>
          </cell>
        </row>
        <row r="1032">
          <cell r="U1032">
            <v>5235720</v>
          </cell>
        </row>
        <row r="1033">
          <cell r="U1033">
            <v>5176100</v>
          </cell>
        </row>
        <row r="1034">
          <cell r="U1034">
            <v>5173390</v>
          </cell>
        </row>
        <row r="1035">
          <cell r="U1035">
            <v>-5176100</v>
          </cell>
        </row>
        <row r="1036">
          <cell r="U1036">
            <v>5260110</v>
          </cell>
        </row>
        <row r="1037">
          <cell r="U1037">
            <v>5827930.0700000003</v>
          </cell>
        </row>
        <row r="1038">
          <cell r="U1038">
            <v>5827930.0700000003</v>
          </cell>
        </row>
        <row r="1039">
          <cell r="U1039">
            <v>5384070.3200000003</v>
          </cell>
        </row>
        <row r="1040">
          <cell r="U1040">
            <v>5391743.5700000003</v>
          </cell>
        </row>
        <row r="1041">
          <cell r="U1041">
            <v>5378954.54</v>
          </cell>
        </row>
        <row r="1042">
          <cell r="U1042">
            <v>5396858.8099999996</v>
          </cell>
        </row>
        <row r="1043">
          <cell r="U1043">
            <v>5389185.5499999998</v>
          </cell>
        </row>
        <row r="1044">
          <cell r="U1044">
            <v>5384070.0499999998</v>
          </cell>
        </row>
        <row r="1045">
          <cell r="U1045">
            <v>5378954.54</v>
          </cell>
        </row>
        <row r="1046">
          <cell r="U1046">
            <v>5349036.66</v>
          </cell>
        </row>
        <row r="1047">
          <cell r="U1047">
            <v>5346495.54</v>
          </cell>
        </row>
        <row r="1048">
          <cell r="U1048">
            <v>5382071.0899999999</v>
          </cell>
        </row>
        <row r="1049">
          <cell r="U1049">
            <v>5308954.32</v>
          </cell>
        </row>
        <row r="1050">
          <cell r="U1050">
            <v>5354394.74</v>
          </cell>
        </row>
        <row r="1051">
          <cell r="U1051">
            <v>5281185.1900000004</v>
          </cell>
        </row>
        <row r="1052">
          <cell r="U1052">
            <v>5314003.26</v>
          </cell>
        </row>
        <row r="1053">
          <cell r="U1053">
            <v>5358591.3099999996</v>
          </cell>
        </row>
        <row r="1054">
          <cell r="U1054">
            <v>5361136.95</v>
          </cell>
        </row>
        <row r="1055">
          <cell r="U1055">
            <v>5373865.2000000002</v>
          </cell>
        </row>
        <row r="1056">
          <cell r="U1056">
            <v>5375155.9199999999</v>
          </cell>
        </row>
        <row r="1057">
          <cell r="U1057">
            <v>5352217.63</v>
          </cell>
        </row>
        <row r="1058">
          <cell r="U1058">
            <v>5349669.17</v>
          </cell>
        </row>
        <row r="1059">
          <cell r="U1059">
            <v>5380253.2800000003</v>
          </cell>
        </row>
        <row r="1060">
          <cell r="U1060">
            <v>5357315.2</v>
          </cell>
        </row>
        <row r="1061">
          <cell r="U1061">
            <v>5340129.16</v>
          </cell>
        </row>
        <row r="1062">
          <cell r="U1062">
            <v>5324900.66</v>
          </cell>
        </row>
        <row r="1063">
          <cell r="U1063">
            <v>5302057.8899999997</v>
          </cell>
        </row>
        <row r="1064">
          <cell r="U1064">
            <v>5360433.83</v>
          </cell>
        </row>
        <row r="1065">
          <cell r="U1065">
            <v>5332514.82</v>
          </cell>
        </row>
        <row r="1066">
          <cell r="U1066">
            <v>5309672.07</v>
          </cell>
        </row>
        <row r="1067">
          <cell r="U1067">
            <v>5332514.82</v>
          </cell>
        </row>
        <row r="1068">
          <cell r="U1068">
            <v>5347774.04</v>
          </cell>
        </row>
        <row r="1069">
          <cell r="U1069">
            <v>5363038.8499999996</v>
          </cell>
        </row>
        <row r="1070">
          <cell r="U1070">
            <v>5342685.7699999996</v>
          </cell>
        </row>
        <row r="1071">
          <cell r="U1071">
            <v>5340141.63</v>
          </cell>
        </row>
        <row r="1072">
          <cell r="U1072">
            <v>5345230.12</v>
          </cell>
        </row>
        <row r="1073">
          <cell r="U1073">
            <v>5350318.4000000004</v>
          </cell>
        </row>
        <row r="1074">
          <cell r="U1074">
            <v>5403247.9199999999</v>
          </cell>
        </row>
        <row r="1075">
          <cell r="U1075">
            <v>5560781.3300000001</v>
          </cell>
        </row>
        <row r="1076">
          <cell r="U1076">
            <v>5524007.1399999997</v>
          </cell>
        </row>
        <row r="1077">
          <cell r="U1077">
            <v>5569456.1799999997</v>
          </cell>
        </row>
        <row r="1078">
          <cell r="U1078">
            <v>5112075.4400000004</v>
          </cell>
        </row>
        <row r="1079">
          <cell r="U1079">
            <v>5097566.24</v>
          </cell>
        </row>
        <row r="1080">
          <cell r="U1080">
            <v>5095147.21</v>
          </cell>
        </row>
        <row r="1081">
          <cell r="U1081">
            <v>5095690.47</v>
          </cell>
        </row>
        <row r="1082">
          <cell r="U1082">
            <v>5112627.72</v>
          </cell>
        </row>
        <row r="1083">
          <cell r="U1083">
            <v>5105368.9000000004</v>
          </cell>
        </row>
        <row r="1084">
          <cell r="U1084">
            <v>5088431.8600000003</v>
          </cell>
        </row>
        <row r="1085">
          <cell r="U1085">
            <v>5086012.25</v>
          </cell>
        </row>
        <row r="1086">
          <cell r="U1086">
            <v>5094345.34</v>
          </cell>
        </row>
        <row r="1087">
          <cell r="U1087">
            <v>5101612.37</v>
          </cell>
        </row>
        <row r="1088">
          <cell r="U1088">
            <v>5045896.76</v>
          </cell>
        </row>
        <row r="1089">
          <cell r="U1089">
            <v>5062853.6900000004</v>
          </cell>
        </row>
        <row r="1090">
          <cell r="U1090">
            <v>5142881.5599999996</v>
          </cell>
        </row>
        <row r="1091">
          <cell r="U1091">
            <v>5157498.95</v>
          </cell>
        </row>
        <row r="1092">
          <cell r="U1092">
            <v>5150190.25</v>
          </cell>
        </row>
        <row r="1093">
          <cell r="U1093">
            <v>5179425.01</v>
          </cell>
        </row>
        <row r="1094">
          <cell r="U1094">
            <v>5140974.2699999996</v>
          </cell>
        </row>
        <row r="1095">
          <cell r="U1095">
            <v>5145849.54</v>
          </cell>
        </row>
        <row r="1096">
          <cell r="U1096">
            <v>5145849.83</v>
          </cell>
        </row>
        <row r="1097">
          <cell r="U1097">
            <v>5140974.5599999996</v>
          </cell>
        </row>
        <row r="1098">
          <cell r="U1098">
            <v>5026928.33</v>
          </cell>
        </row>
        <row r="1099">
          <cell r="U1099">
            <v>5036498.87</v>
          </cell>
        </row>
        <row r="1100">
          <cell r="U1100">
            <v>4982783.1100000003</v>
          </cell>
        </row>
        <row r="1101">
          <cell r="U1101">
            <v>5059257.47</v>
          </cell>
        </row>
        <row r="1102">
          <cell r="U1102">
            <v>5044918.7300000004</v>
          </cell>
        </row>
        <row r="1103">
          <cell r="U1103">
            <v>5042528.9000000004</v>
          </cell>
        </row>
        <row r="1104">
          <cell r="U1104">
            <v>5406525.9100000001</v>
          </cell>
        </row>
        <row r="1105">
          <cell r="U1105">
            <v>5377174.8099999996</v>
          </cell>
        </row>
        <row r="1106">
          <cell r="U1106">
            <v>5370030.46</v>
          </cell>
        </row>
        <row r="1107">
          <cell r="U1107">
            <v>5360504.92</v>
          </cell>
        </row>
        <row r="1108">
          <cell r="U1108">
            <v>6358036.1900000004</v>
          </cell>
        </row>
        <row r="1109">
          <cell r="U1109">
            <v>6280450.3300000001</v>
          </cell>
        </row>
        <row r="1110">
          <cell r="U1110">
            <v>6213891.5</v>
          </cell>
        </row>
        <row r="1111">
          <cell r="U1111">
            <v>6052664.9199999999</v>
          </cell>
        </row>
        <row r="1112">
          <cell r="U1112">
            <v>6049650.3700000001</v>
          </cell>
        </row>
        <row r="1113">
          <cell r="U1113">
            <v>6073167.1100000003</v>
          </cell>
        </row>
        <row r="1114">
          <cell r="U1114">
            <v>5932793.7000000002</v>
          </cell>
        </row>
        <row r="1115">
          <cell r="U1115">
            <v>5939272.54</v>
          </cell>
        </row>
        <row r="1116">
          <cell r="U1116">
            <v>5943311.4000000004</v>
          </cell>
        </row>
        <row r="1117">
          <cell r="U1117">
            <v>6181047.5999999996</v>
          </cell>
        </row>
        <row r="1118">
          <cell r="U1118">
            <v>5770670.7000000002</v>
          </cell>
        </row>
        <row r="1119">
          <cell r="U1119">
            <v>5799141.21</v>
          </cell>
        </row>
        <row r="1120">
          <cell r="U1120">
            <v>691200</v>
          </cell>
        </row>
        <row r="1121">
          <cell r="U1121">
            <v>691200</v>
          </cell>
        </row>
        <row r="1122">
          <cell r="U1122">
            <v>3478687.54</v>
          </cell>
        </row>
        <row r="1123">
          <cell r="U1123">
            <v>3606528.38</v>
          </cell>
        </row>
        <row r="1124">
          <cell r="U1124">
            <v>3510394.2</v>
          </cell>
        </row>
        <row r="1125">
          <cell r="U1125">
            <v>3282500.4</v>
          </cell>
        </row>
        <row r="1126">
          <cell r="U1126">
            <v>393.05</v>
          </cell>
        </row>
        <row r="1127">
          <cell r="U1127">
            <v>3454373.2</v>
          </cell>
        </row>
        <row r="1128">
          <cell r="U1128">
            <v>3454373.2</v>
          </cell>
        </row>
        <row r="1129">
          <cell r="U1129">
            <v>3262936</v>
          </cell>
        </row>
        <row r="1130">
          <cell r="U1130">
            <v>2712880</v>
          </cell>
        </row>
        <row r="1131">
          <cell r="U1131">
            <v>3218656</v>
          </cell>
        </row>
        <row r="1132">
          <cell r="U1132">
            <v>3417473.2</v>
          </cell>
        </row>
        <row r="1133">
          <cell r="U1133">
            <v>3417473.2</v>
          </cell>
        </row>
        <row r="1134">
          <cell r="U1134">
            <v>3417473.2</v>
          </cell>
        </row>
        <row r="1135">
          <cell r="U1135">
            <v>3218656</v>
          </cell>
        </row>
        <row r="1136">
          <cell r="U1136">
            <v>3218656</v>
          </cell>
        </row>
        <row r="1137">
          <cell r="U1137">
            <v>3417473.2</v>
          </cell>
        </row>
        <row r="1138">
          <cell r="U1138">
            <v>3159616</v>
          </cell>
        </row>
        <row r="1139">
          <cell r="U1139">
            <v>3387953.2</v>
          </cell>
        </row>
        <row r="1140">
          <cell r="U1140">
            <v>3387953.2</v>
          </cell>
        </row>
        <row r="1141">
          <cell r="U1141">
            <v>3387953.2</v>
          </cell>
        </row>
        <row r="1142">
          <cell r="U1142">
            <v>3159616</v>
          </cell>
        </row>
        <row r="1143">
          <cell r="U1143">
            <v>3159616</v>
          </cell>
        </row>
        <row r="1144">
          <cell r="U1144">
            <v>3387953.2</v>
          </cell>
        </row>
        <row r="1145">
          <cell r="U1145">
            <v>2663680</v>
          </cell>
        </row>
        <row r="1146">
          <cell r="U1146">
            <v>3203453.2</v>
          </cell>
        </row>
        <row r="1147">
          <cell r="U1147">
            <v>2516080</v>
          </cell>
        </row>
        <row r="1148">
          <cell r="U1148">
            <v>3203453.2</v>
          </cell>
        </row>
        <row r="1149">
          <cell r="U1149">
            <v>2982496</v>
          </cell>
        </row>
        <row r="1150">
          <cell r="U1150">
            <v>2516080</v>
          </cell>
        </row>
        <row r="1151">
          <cell r="U1151">
            <v>3203453.2</v>
          </cell>
        </row>
        <row r="1152">
          <cell r="U1152">
            <v>3085373.2</v>
          </cell>
        </row>
        <row r="1153">
          <cell r="U1153">
            <v>2790616</v>
          </cell>
        </row>
        <row r="1154">
          <cell r="U1154">
            <v>3085373.2</v>
          </cell>
        </row>
        <row r="1155">
          <cell r="U1155">
            <v>2790616</v>
          </cell>
        </row>
        <row r="1156">
          <cell r="U1156">
            <v>3085373.2</v>
          </cell>
        </row>
        <row r="1157">
          <cell r="U1157">
            <v>3085373.2</v>
          </cell>
        </row>
        <row r="1158">
          <cell r="U1158">
            <v>1487308</v>
          </cell>
        </row>
        <row r="1159">
          <cell r="U1159">
            <v>2356180</v>
          </cell>
        </row>
        <row r="1160">
          <cell r="U1160">
            <v>3011573.2</v>
          </cell>
        </row>
        <row r="1161">
          <cell r="U1161">
            <v>2746336</v>
          </cell>
        </row>
        <row r="1162">
          <cell r="U1162">
            <v>3011573.2</v>
          </cell>
        </row>
        <row r="1163">
          <cell r="U1163">
            <v>2746336</v>
          </cell>
        </row>
        <row r="1164">
          <cell r="U1164">
            <v>3011573.2</v>
          </cell>
        </row>
        <row r="1165">
          <cell r="U1165">
            <v>3011573.2</v>
          </cell>
        </row>
        <row r="1166">
          <cell r="U1166">
            <v>3011573.2</v>
          </cell>
        </row>
        <row r="1167">
          <cell r="U1167">
            <v>2319280</v>
          </cell>
        </row>
        <row r="1168">
          <cell r="U1168">
            <v>3011573.2</v>
          </cell>
        </row>
        <row r="1169">
          <cell r="U1169">
            <v>3011573.2</v>
          </cell>
        </row>
        <row r="1170">
          <cell r="U1170">
            <v>3011573.2</v>
          </cell>
        </row>
        <row r="1171">
          <cell r="U1171">
            <v>2746336</v>
          </cell>
        </row>
        <row r="1172">
          <cell r="U1172">
            <v>2746336</v>
          </cell>
        </row>
        <row r="1173">
          <cell r="U1173">
            <v>3011573.2</v>
          </cell>
        </row>
        <row r="1174">
          <cell r="U1174">
            <v>3011573.2</v>
          </cell>
        </row>
        <row r="1175">
          <cell r="U1175">
            <v>2503411</v>
          </cell>
        </row>
        <row r="1176">
          <cell r="U1176">
            <v>2319280</v>
          </cell>
        </row>
        <row r="1177">
          <cell r="U1177">
            <v>2039528.8</v>
          </cell>
        </row>
        <row r="1178">
          <cell r="U1178">
            <v>2790616</v>
          </cell>
        </row>
        <row r="1179">
          <cell r="U1179">
            <v>2503411</v>
          </cell>
        </row>
        <row r="1180">
          <cell r="U1180">
            <v>2790616</v>
          </cell>
        </row>
        <row r="1181">
          <cell r="U1181">
            <v>2967293.2</v>
          </cell>
        </row>
        <row r="1182">
          <cell r="U1182">
            <v>2967293.2</v>
          </cell>
        </row>
        <row r="1183">
          <cell r="U1183">
            <v>2790616</v>
          </cell>
        </row>
        <row r="1184">
          <cell r="U1184">
            <v>2790616</v>
          </cell>
        </row>
        <row r="1185">
          <cell r="U1185">
            <v>2790616</v>
          </cell>
        </row>
        <row r="1186">
          <cell r="U1186">
            <v>2967293.2</v>
          </cell>
        </row>
        <row r="1187">
          <cell r="U1187">
            <v>797040</v>
          </cell>
        </row>
        <row r="1188">
          <cell r="U1188">
            <v>2039528.8</v>
          </cell>
        </row>
        <row r="1189">
          <cell r="U1189">
            <v>2575120</v>
          </cell>
        </row>
        <row r="1190">
          <cell r="U1190">
            <v>2790616</v>
          </cell>
        </row>
        <row r="1191">
          <cell r="U1191">
            <v>2356180</v>
          </cell>
        </row>
        <row r="1192">
          <cell r="U1192">
            <v>2790616</v>
          </cell>
        </row>
        <row r="1193">
          <cell r="U1193">
            <v>2575120</v>
          </cell>
        </row>
        <row r="1194">
          <cell r="U1194">
            <v>2591526.56</v>
          </cell>
        </row>
        <row r="1195">
          <cell r="U1195">
            <v>2588929.84</v>
          </cell>
        </row>
        <row r="1196">
          <cell r="U1196">
            <v>2595421.64</v>
          </cell>
        </row>
        <row r="1197">
          <cell r="U1197">
            <v>2595421.64</v>
          </cell>
        </row>
        <row r="1198">
          <cell r="U1198">
            <v>2594123.2799999998</v>
          </cell>
        </row>
        <row r="1199">
          <cell r="U1199">
            <v>2596720</v>
          </cell>
        </row>
        <row r="1200">
          <cell r="U1200">
            <v>2599316.7200000002</v>
          </cell>
        </row>
        <row r="1201">
          <cell r="U1201">
            <v>2596720</v>
          </cell>
        </row>
        <row r="1202">
          <cell r="U1202">
            <v>2451486.06</v>
          </cell>
        </row>
        <row r="1203">
          <cell r="U1203">
            <v>2452713.0299999998</v>
          </cell>
        </row>
        <row r="1204">
          <cell r="U1204">
            <v>2452713.0299999998</v>
          </cell>
        </row>
        <row r="1205">
          <cell r="U1205">
            <v>2452713.0299999998</v>
          </cell>
        </row>
        <row r="1206">
          <cell r="U1206">
            <v>2450259.09</v>
          </cell>
        </row>
        <row r="1207">
          <cell r="U1207">
            <v>2449032.12</v>
          </cell>
        </row>
        <row r="1208">
          <cell r="U1208">
            <v>2303728.02</v>
          </cell>
        </row>
        <row r="1209">
          <cell r="U1209">
            <v>2306038.6800000002</v>
          </cell>
        </row>
        <row r="1210">
          <cell r="U1210">
            <v>2306038.6800000002</v>
          </cell>
        </row>
        <row r="1211">
          <cell r="U1211">
            <v>2307194.0099999998</v>
          </cell>
        </row>
        <row r="1212">
          <cell r="U1212">
            <v>2303728.02</v>
          </cell>
        </row>
        <row r="1213">
          <cell r="U1213">
            <v>2149014</v>
          </cell>
        </row>
        <row r="1214">
          <cell r="U1214">
            <v>2151168.4</v>
          </cell>
        </row>
        <row r="1215">
          <cell r="U1215">
            <v>2150091.2000000002</v>
          </cell>
        </row>
        <row r="1216">
          <cell r="U1216">
            <v>2145782.4</v>
          </cell>
        </row>
        <row r="1217">
          <cell r="U1217">
            <v>2148729.12</v>
          </cell>
        </row>
        <row r="1218">
          <cell r="U1218">
            <v>2147653.6800000002</v>
          </cell>
        </row>
        <row r="1219">
          <cell r="U1219">
            <v>2147653.6800000002</v>
          </cell>
        </row>
        <row r="1220">
          <cell r="U1220">
            <v>2147653.6800000002</v>
          </cell>
        </row>
        <row r="1221">
          <cell r="U1221">
            <v>2149804.56</v>
          </cell>
        </row>
        <row r="1222">
          <cell r="U1222">
            <v>2226166.36</v>
          </cell>
        </row>
        <row r="1223">
          <cell r="U1223">
            <v>2223939.08</v>
          </cell>
        </row>
        <row r="1224">
          <cell r="U1224">
            <v>2223939.08</v>
          </cell>
        </row>
        <row r="1225">
          <cell r="U1225">
            <v>2220598.16</v>
          </cell>
        </row>
        <row r="1226">
          <cell r="U1226">
            <v>2220598.16</v>
          </cell>
        </row>
        <row r="1227">
          <cell r="U1227">
            <v>2229507.2799999998</v>
          </cell>
        </row>
        <row r="1228">
          <cell r="U1228">
            <v>2351028.16</v>
          </cell>
        </row>
        <row r="1229">
          <cell r="U1229">
            <v>2349850.88</v>
          </cell>
        </row>
        <row r="1230">
          <cell r="U1230">
            <v>2354560</v>
          </cell>
        </row>
        <row r="1231">
          <cell r="U1231">
            <v>2352205.44</v>
          </cell>
        </row>
        <row r="1232">
          <cell r="U1232">
            <v>2348673.6</v>
          </cell>
        </row>
        <row r="1233">
          <cell r="U1233">
            <v>2402650.36</v>
          </cell>
        </row>
        <row r="1234">
          <cell r="U1234">
            <v>2409880</v>
          </cell>
        </row>
        <row r="1235">
          <cell r="U1235">
            <v>2406265.1800000002</v>
          </cell>
        </row>
        <row r="1236">
          <cell r="U1236">
            <v>2409880</v>
          </cell>
        </row>
        <row r="1237">
          <cell r="U1237">
            <v>2403855.2999999998</v>
          </cell>
        </row>
        <row r="1238">
          <cell r="U1238">
            <v>2402650.36</v>
          </cell>
        </row>
        <row r="1239">
          <cell r="U1239">
            <v>2401445.42</v>
          </cell>
        </row>
        <row r="1240">
          <cell r="U1240">
            <v>2310069.69</v>
          </cell>
        </row>
        <row r="1241">
          <cell r="U1241">
            <v>2312383.23</v>
          </cell>
        </row>
        <row r="1242">
          <cell r="U1242">
            <v>3798879.2</v>
          </cell>
        </row>
        <row r="1243">
          <cell r="U1243">
            <v>3779052.07</v>
          </cell>
        </row>
        <row r="1244">
          <cell r="U1244">
            <v>3746653.31</v>
          </cell>
        </row>
        <row r="1245">
          <cell r="U1245">
            <v>3786050.29</v>
          </cell>
        </row>
        <row r="1246">
          <cell r="U1246">
            <v>3813225.28</v>
          </cell>
        </row>
        <row r="1247">
          <cell r="U1247">
            <v>3411991.49</v>
          </cell>
        </row>
        <row r="1248">
          <cell r="U1248">
            <v>3411991.49</v>
          </cell>
        </row>
        <row r="1249">
          <cell r="U1249">
            <v>3471678.66</v>
          </cell>
        </row>
        <row r="1250">
          <cell r="U1250">
            <v>3457100</v>
          </cell>
        </row>
        <row r="1251">
          <cell r="U1251">
            <v>3429950</v>
          </cell>
        </row>
        <row r="1252">
          <cell r="U1252">
            <v>3399180</v>
          </cell>
        </row>
        <row r="1253">
          <cell r="U1253">
            <v>3502350</v>
          </cell>
        </row>
        <row r="1254">
          <cell r="U1254">
            <v>3465520.1</v>
          </cell>
        </row>
        <row r="1255">
          <cell r="U1255">
            <v>3589417.31</v>
          </cell>
        </row>
        <row r="1256">
          <cell r="U1256">
            <v>3239741.64</v>
          </cell>
        </row>
        <row r="1257">
          <cell r="U1257">
            <v>3609892.65</v>
          </cell>
        </row>
        <row r="1258">
          <cell r="U1258">
            <v>3577380.46</v>
          </cell>
        </row>
        <row r="1259">
          <cell r="U1259">
            <v>3768222.28</v>
          </cell>
        </row>
        <row r="1260">
          <cell r="U1260">
            <v>3615033.47</v>
          </cell>
        </row>
        <row r="1261">
          <cell r="U1261">
            <v>3670065.48</v>
          </cell>
        </row>
        <row r="1262">
          <cell r="U1262">
            <v>3537587.42</v>
          </cell>
        </row>
        <row r="1263">
          <cell r="U1263">
            <v>3311343.5</v>
          </cell>
        </row>
        <row r="1264">
          <cell r="U1264">
            <v>3313000</v>
          </cell>
        </row>
        <row r="1265">
          <cell r="U1265">
            <v>3313000</v>
          </cell>
        </row>
        <row r="1266">
          <cell r="U1266">
            <v>3569790</v>
          </cell>
        </row>
        <row r="1267">
          <cell r="U1267">
            <v>3569790</v>
          </cell>
        </row>
        <row r="1268">
          <cell r="U1268">
            <v>3399266.5</v>
          </cell>
        </row>
        <row r="1269">
          <cell r="U1269">
            <v>6977300</v>
          </cell>
        </row>
        <row r="1270">
          <cell r="U1270">
            <v>3399266.5</v>
          </cell>
        </row>
        <row r="1271">
          <cell r="U1271">
            <v>6564250</v>
          </cell>
        </row>
        <row r="1272">
          <cell r="U1272">
            <v>3124926</v>
          </cell>
        </row>
        <row r="1273">
          <cell r="U1273">
            <v>3124926</v>
          </cell>
        </row>
        <row r="1274">
          <cell r="U1274">
            <v>3013990</v>
          </cell>
        </row>
        <row r="1275">
          <cell r="U1275">
            <v>5972725</v>
          </cell>
        </row>
        <row r="1276">
          <cell r="U1276">
            <v>5734850</v>
          </cell>
        </row>
        <row r="1277">
          <cell r="U1277">
            <v>3034934</v>
          </cell>
        </row>
        <row r="1278">
          <cell r="U1278">
            <v>5786825</v>
          </cell>
        </row>
        <row r="1279">
          <cell r="U1279">
            <v>5851725</v>
          </cell>
        </row>
        <row r="1280">
          <cell r="U1280">
            <v>3153398.5</v>
          </cell>
        </row>
        <row r="1281">
          <cell r="U1281">
            <v>3126256</v>
          </cell>
        </row>
        <row r="1282">
          <cell r="U1282">
            <v>6039550</v>
          </cell>
        </row>
        <row r="1283">
          <cell r="U1283">
            <v>5968600</v>
          </cell>
        </row>
        <row r="1284">
          <cell r="U1284">
            <v>1811250</v>
          </cell>
        </row>
        <row r="1285">
          <cell r="U1285">
            <v>1842230</v>
          </cell>
        </row>
        <row r="1286">
          <cell r="U1286">
            <v>1712010</v>
          </cell>
        </row>
        <row r="1287">
          <cell r="U1287">
            <v>1702225</v>
          </cell>
        </row>
        <row r="1288">
          <cell r="U1288">
            <v>1832510</v>
          </cell>
        </row>
        <row r="1289">
          <cell r="U1289">
            <v>571884.29</v>
          </cell>
        </row>
        <row r="1290">
          <cell r="U1290">
            <v>588895.54</v>
          </cell>
        </row>
        <row r="1291">
          <cell r="U1291">
            <v>7498062</v>
          </cell>
        </row>
        <row r="1292">
          <cell r="U1292">
            <v>7498062</v>
          </cell>
        </row>
        <row r="1293">
          <cell r="U1293">
            <v>7498062</v>
          </cell>
        </row>
        <row r="1294">
          <cell r="U1294">
            <v>7498062</v>
          </cell>
        </row>
        <row r="1295">
          <cell r="U1295">
            <v>22494186.390000001</v>
          </cell>
        </row>
        <row r="1296">
          <cell r="U1296">
            <v>7560715.2400000002</v>
          </cell>
        </row>
        <row r="1297">
          <cell r="U1297">
            <v>30242860.370000001</v>
          </cell>
        </row>
        <row r="1298">
          <cell r="U1298">
            <v>7560715.2400000002</v>
          </cell>
        </row>
        <row r="1299">
          <cell r="U1299">
            <v>7569665.6799999997</v>
          </cell>
        </row>
        <row r="1300">
          <cell r="U1300">
            <v>20671696.52</v>
          </cell>
        </row>
        <row r="1301">
          <cell r="U1301">
            <v>20671696.52</v>
          </cell>
        </row>
        <row r="1302">
          <cell r="U1302">
            <v>6906906.71</v>
          </cell>
        </row>
        <row r="1303">
          <cell r="U1303">
            <v>6906906.7199999997</v>
          </cell>
        </row>
        <row r="1304">
          <cell r="U1304">
            <v>6362247.4800000004</v>
          </cell>
        </row>
        <row r="1305">
          <cell r="U1305">
            <v>6362247.4800000004</v>
          </cell>
        </row>
        <row r="1306">
          <cell r="U1306">
            <v>6362247.4800000004</v>
          </cell>
        </row>
        <row r="1307">
          <cell r="U1307">
            <v>12709632.689999999</v>
          </cell>
        </row>
        <row r="1308">
          <cell r="U1308">
            <v>6354816.2199999997</v>
          </cell>
        </row>
        <row r="1309">
          <cell r="U1309">
            <v>6354816.2199999997</v>
          </cell>
        </row>
        <row r="1310">
          <cell r="U1310">
            <v>6354816.1699999999</v>
          </cell>
        </row>
        <row r="1311">
          <cell r="U1311">
            <v>19064448.059999999</v>
          </cell>
        </row>
        <row r="1312">
          <cell r="U1312">
            <v>6354816.1699999999</v>
          </cell>
        </row>
        <row r="1313">
          <cell r="U1313">
            <v>19064447.920000002</v>
          </cell>
        </row>
        <row r="1314">
          <cell r="U1314">
            <v>1094356.1599999999</v>
          </cell>
        </row>
        <row r="1315">
          <cell r="U1315">
            <v>1046153.58</v>
          </cell>
        </row>
        <row r="1316">
          <cell r="U1316">
            <v>408982.22</v>
          </cell>
        </row>
        <row r="1317">
          <cell r="U1317">
            <v>408982.22</v>
          </cell>
        </row>
        <row r="1318">
          <cell r="U1318">
            <v>4271697.59</v>
          </cell>
        </row>
        <row r="1319">
          <cell r="U1319">
            <v>4098886.18</v>
          </cell>
        </row>
        <row r="1320">
          <cell r="U1320">
            <v>1713600</v>
          </cell>
        </row>
        <row r="1321">
          <cell r="U1321">
            <v>1612000</v>
          </cell>
        </row>
        <row r="1322">
          <cell r="U1322">
            <v>731500</v>
          </cell>
        </row>
        <row r="1323">
          <cell r="U1323">
            <v>8054090.9299999997</v>
          </cell>
        </row>
        <row r="1324">
          <cell r="U1324">
            <v>7757753.96</v>
          </cell>
        </row>
        <row r="1325">
          <cell r="U1325">
            <v>7783302.7000000002</v>
          </cell>
        </row>
        <row r="1326">
          <cell r="U1326">
            <v>7653308.0499999998</v>
          </cell>
        </row>
        <row r="1327">
          <cell r="U1327">
            <v>7628056.8799999999</v>
          </cell>
        </row>
        <row r="1328">
          <cell r="U1328">
            <v>7525938.29</v>
          </cell>
        </row>
        <row r="1329">
          <cell r="U1329">
            <v>7415816.2199999997</v>
          </cell>
        </row>
        <row r="1330">
          <cell r="U1330">
            <v>7712359.6200000001</v>
          </cell>
        </row>
        <row r="1331">
          <cell r="U1331">
            <v>7694984.0999999996</v>
          </cell>
        </row>
        <row r="1332">
          <cell r="U1332">
            <v>8188461.3300000001</v>
          </cell>
        </row>
        <row r="1333">
          <cell r="U1333">
            <v>183063.04000000001</v>
          </cell>
        </row>
        <row r="1334">
          <cell r="U1334">
            <v>308817.33</v>
          </cell>
        </row>
        <row r="1335">
          <cell r="U1335">
            <v>8190173.8899999997</v>
          </cell>
        </row>
        <row r="1336">
          <cell r="U1336">
            <v>8130563.5899999999</v>
          </cell>
        </row>
        <row r="1337">
          <cell r="U1337">
            <v>8125047.21</v>
          </cell>
        </row>
        <row r="1338">
          <cell r="U1338">
            <v>7228393.4199999999</v>
          </cell>
        </row>
        <row r="1339">
          <cell r="U1339">
            <v>7353808.6699999999</v>
          </cell>
        </row>
        <row r="1340">
          <cell r="U1340">
            <v>2291574.5099999998</v>
          </cell>
        </row>
        <row r="1341">
          <cell r="U1341">
            <v>1964206.7</v>
          </cell>
        </row>
        <row r="1342">
          <cell r="U1342">
            <v>1746567.96</v>
          </cell>
        </row>
        <row r="1343">
          <cell r="U1343">
            <v>339000</v>
          </cell>
        </row>
        <row r="1344">
          <cell r="U1344">
            <v>339000</v>
          </cell>
        </row>
        <row r="1345">
          <cell r="U1345">
            <v>339000</v>
          </cell>
        </row>
        <row r="1346">
          <cell r="U1346">
            <v>237300</v>
          </cell>
        </row>
        <row r="1347">
          <cell r="U1347">
            <v>101700</v>
          </cell>
        </row>
        <row r="1348">
          <cell r="U1348">
            <v>339000</v>
          </cell>
        </row>
        <row r="1349">
          <cell r="U1349">
            <v>400800</v>
          </cell>
        </row>
        <row r="1350">
          <cell r="U1350">
            <v>400800</v>
          </cell>
        </row>
        <row r="1351">
          <cell r="U1351">
            <v>400800</v>
          </cell>
        </row>
        <row r="1352">
          <cell r="U1352">
            <v>400800</v>
          </cell>
        </row>
        <row r="1353">
          <cell r="U1353">
            <v>400800</v>
          </cell>
        </row>
        <row r="1354">
          <cell r="U1354">
            <v>400800</v>
          </cell>
        </row>
        <row r="1355">
          <cell r="U1355">
            <v>501000</v>
          </cell>
        </row>
        <row r="1356">
          <cell r="U1356">
            <v>11648027.42</v>
          </cell>
        </row>
        <row r="1357">
          <cell r="U1357">
            <v>11756818.84</v>
          </cell>
        </row>
        <row r="1358">
          <cell r="U1358">
            <v>11753277.550000001</v>
          </cell>
        </row>
        <row r="1359">
          <cell r="U1359">
            <v>11673684.560000001</v>
          </cell>
        </row>
        <row r="1360">
          <cell r="U1360">
            <v>11551267.43</v>
          </cell>
        </row>
        <row r="1361">
          <cell r="U1361">
            <v>11375106.560000001</v>
          </cell>
        </row>
        <row r="1362">
          <cell r="U1362">
            <v>10480773.630000001</v>
          </cell>
        </row>
        <row r="1363">
          <cell r="U1363">
            <v>7547289.2199999997</v>
          </cell>
        </row>
        <row r="1364">
          <cell r="U1364">
            <v>7547289.2199999997</v>
          </cell>
        </row>
        <row r="1365">
          <cell r="U1365">
            <v>7732850.6200000001</v>
          </cell>
        </row>
        <row r="1366">
          <cell r="U1366">
            <v>14996123.17</v>
          </cell>
        </row>
        <row r="1367">
          <cell r="U1367">
            <v>22682145.379999999</v>
          </cell>
        </row>
        <row r="1368">
          <cell r="U1368">
            <v>15121429.34</v>
          </cell>
        </row>
        <row r="1369">
          <cell r="U1369">
            <v>6890565.79</v>
          </cell>
        </row>
        <row r="1370">
          <cell r="U1370">
            <v>6890565.79</v>
          </cell>
        </row>
        <row r="1371">
          <cell r="U1371">
            <v>6906906.7199999997</v>
          </cell>
        </row>
        <row r="1372">
          <cell r="U1372">
            <v>19053301.079999998</v>
          </cell>
        </row>
        <row r="1373">
          <cell r="U1373">
            <v>12724495.66</v>
          </cell>
        </row>
        <row r="1374">
          <cell r="U1374">
            <v>2261.5500000000002</v>
          </cell>
        </row>
        <row r="1375">
          <cell r="U1375">
            <v>11982836.67</v>
          </cell>
        </row>
        <row r="1376">
          <cell r="U1376">
            <v>7961171.8399999999</v>
          </cell>
        </row>
        <row r="1377">
          <cell r="U1377">
            <v>2878561</v>
          </cell>
        </row>
        <row r="1378">
          <cell r="U1378">
            <v>2853961</v>
          </cell>
        </row>
        <row r="1379">
          <cell r="U1379">
            <v>2700211</v>
          </cell>
        </row>
        <row r="1380">
          <cell r="U1380">
            <v>2540311</v>
          </cell>
        </row>
        <row r="1381">
          <cell r="U1381">
            <v>2540311</v>
          </cell>
        </row>
        <row r="1382">
          <cell r="U1382">
            <v>2503411</v>
          </cell>
        </row>
        <row r="1383">
          <cell r="U1383">
            <v>2176600</v>
          </cell>
        </row>
        <row r="1384">
          <cell r="U1384">
            <v>10708544.43</v>
          </cell>
        </row>
        <row r="1385">
          <cell r="U1385">
            <v>2891492.52</v>
          </cell>
        </row>
        <row r="1386">
          <cell r="U1386">
            <v>1421842.01</v>
          </cell>
        </row>
        <row r="1387">
          <cell r="U1387">
            <v>1085086.67</v>
          </cell>
        </row>
        <row r="1388">
          <cell r="U1388">
            <v>1326697.57</v>
          </cell>
        </row>
        <row r="1389">
          <cell r="U1389">
            <v>1374729.15</v>
          </cell>
        </row>
        <row r="1390">
          <cell r="U1390">
            <v>1147606</v>
          </cell>
        </row>
        <row r="1391">
          <cell r="U1391">
            <v>1029362.93</v>
          </cell>
        </row>
        <row r="1392">
          <cell r="U1392">
            <v>1240416</v>
          </cell>
        </row>
        <row r="1393">
          <cell r="U1393">
            <v>1029702.96</v>
          </cell>
        </row>
        <row r="1394">
          <cell r="U1394">
            <v>1017653.76</v>
          </cell>
        </row>
        <row r="1395">
          <cell r="U1395">
            <v>1103548</v>
          </cell>
        </row>
        <row r="1396">
          <cell r="U1396">
            <v>948670.86</v>
          </cell>
        </row>
        <row r="1397">
          <cell r="U1397">
            <v>994834.97</v>
          </cell>
        </row>
        <row r="1398">
          <cell r="U1398">
            <v>1190134</v>
          </cell>
        </row>
        <row r="1399">
          <cell r="U1399">
            <v>1016782.17</v>
          </cell>
        </row>
        <row r="1400">
          <cell r="U1400">
            <v>1249568</v>
          </cell>
        </row>
        <row r="1401">
          <cell r="U1401">
            <v>999029.89</v>
          </cell>
        </row>
        <row r="1402">
          <cell r="U1402">
            <v>1160258</v>
          </cell>
        </row>
        <row r="1403">
          <cell r="U1403">
            <v>995401.53</v>
          </cell>
        </row>
        <row r="1404">
          <cell r="U1404">
            <v>1214400</v>
          </cell>
        </row>
        <row r="1405">
          <cell r="U1405">
            <v>5829525.04</v>
          </cell>
        </row>
        <row r="1406">
          <cell r="U1406">
            <v>5620130.6100000003</v>
          </cell>
        </row>
        <row r="1407">
          <cell r="U1407">
            <v>5640666.29</v>
          </cell>
        </row>
        <row r="1408">
          <cell r="U1408">
            <v>5466060.4699999997</v>
          </cell>
        </row>
        <row r="1409">
          <cell r="U1409">
            <v>5484157</v>
          </cell>
        </row>
        <row r="1410">
          <cell r="U1410">
            <v>5479395.3099999996</v>
          </cell>
        </row>
        <row r="1411">
          <cell r="U1411">
            <v>5490623.1600000001</v>
          </cell>
        </row>
        <row r="1412">
          <cell r="U1412">
            <v>5488238.9400000004</v>
          </cell>
        </row>
        <row r="1413">
          <cell r="U1413">
            <v>5710894.4500000002</v>
          </cell>
        </row>
        <row r="1414">
          <cell r="U1414">
            <v>5671664.4400000004</v>
          </cell>
        </row>
        <row r="1415">
          <cell r="U1415">
            <v>4886420</v>
          </cell>
        </row>
        <row r="1416">
          <cell r="U1416">
            <v>4886420</v>
          </cell>
        </row>
        <row r="1417">
          <cell r="U1417">
            <v>4886420</v>
          </cell>
        </row>
        <row r="1418">
          <cell r="U1418">
            <v>4886420</v>
          </cell>
        </row>
        <row r="1419">
          <cell r="U1419">
            <v>4886420</v>
          </cell>
        </row>
        <row r="1420">
          <cell r="U1420">
            <v>4886420</v>
          </cell>
        </row>
        <row r="1421">
          <cell r="U1421">
            <v>4886420</v>
          </cell>
        </row>
        <row r="1422">
          <cell r="U1422">
            <v>4886420</v>
          </cell>
        </row>
        <row r="1423">
          <cell r="U1423">
            <v>4886420</v>
          </cell>
        </row>
        <row r="1424">
          <cell r="U1424">
            <v>4886420</v>
          </cell>
        </row>
        <row r="1425">
          <cell r="U1425">
            <v>38303.300000000003</v>
          </cell>
        </row>
        <row r="1426">
          <cell r="U1426">
            <v>7733571.1799999997</v>
          </cell>
        </row>
        <row r="1427">
          <cell r="U1427">
            <v>7721758.2000000002</v>
          </cell>
        </row>
        <row r="1428">
          <cell r="U1428">
            <v>7641058.1500000004</v>
          </cell>
        </row>
        <row r="1429">
          <cell r="U1429">
            <v>7621554.7999999998</v>
          </cell>
        </row>
        <row r="1430">
          <cell r="U1430">
            <v>7596255.5300000003</v>
          </cell>
        </row>
        <row r="1431">
          <cell r="U1431">
            <v>7534976.4400000004</v>
          </cell>
        </row>
        <row r="1432">
          <cell r="U1432">
            <v>7466201.79</v>
          </cell>
        </row>
        <row r="1433">
          <cell r="U1433">
            <v>584258.09</v>
          </cell>
        </row>
        <row r="1434">
          <cell r="U1434">
            <v>583908.9</v>
          </cell>
        </row>
        <row r="1435">
          <cell r="U1435">
            <v>1488244.61</v>
          </cell>
        </row>
        <row r="1436">
          <cell r="U1436">
            <v>1487355.79</v>
          </cell>
        </row>
        <row r="1437">
          <cell r="U1437">
            <v>6436266.4900000002</v>
          </cell>
        </row>
        <row r="1438">
          <cell r="U1438">
            <v>6271563.6299999999</v>
          </cell>
        </row>
        <row r="1439">
          <cell r="U1439">
            <v>6262492.9000000004</v>
          </cell>
        </row>
        <row r="1440">
          <cell r="U1440">
            <v>9427175.6899999995</v>
          </cell>
        </row>
        <row r="1441">
          <cell r="U1441">
            <v>4274117.46</v>
          </cell>
        </row>
        <row r="1442">
          <cell r="U1442">
            <v>9365502.25</v>
          </cell>
        </row>
        <row r="1443">
          <cell r="U1443">
            <v>9390835.8900000006</v>
          </cell>
        </row>
        <row r="1444">
          <cell r="U1444">
            <v>3618563.19</v>
          </cell>
        </row>
        <row r="1445">
          <cell r="U1445">
            <v>4550179.17</v>
          </cell>
        </row>
        <row r="1446">
          <cell r="U1446">
            <v>4109524.45</v>
          </cell>
        </row>
        <row r="1447">
          <cell r="U1447">
            <v>7975270.1699999999</v>
          </cell>
        </row>
        <row r="1448">
          <cell r="U1448">
            <v>6336197.5599999996</v>
          </cell>
        </row>
        <row r="1449">
          <cell r="U1449">
            <v>6329702.5999999996</v>
          </cell>
        </row>
        <row r="1450">
          <cell r="U1450">
            <v>6269262.7800000003</v>
          </cell>
        </row>
        <row r="1451">
          <cell r="U1451">
            <v>6268194.5899999999</v>
          </cell>
        </row>
        <row r="1452">
          <cell r="U1452">
            <v>6242518.4199999999</v>
          </cell>
        </row>
        <row r="1453">
          <cell r="U1453">
            <v>6232889.8399999999</v>
          </cell>
        </row>
        <row r="1454">
          <cell r="U1454">
            <v>6274426.3300000001</v>
          </cell>
        </row>
        <row r="1455">
          <cell r="U1455">
            <v>6206625.96</v>
          </cell>
        </row>
        <row r="1456">
          <cell r="U1456">
            <v>6194841.6600000001</v>
          </cell>
        </row>
        <row r="1457">
          <cell r="U1457">
            <v>6225923.9699999997</v>
          </cell>
        </row>
        <row r="1458">
          <cell r="U1458">
            <v>6324316.6200000001</v>
          </cell>
        </row>
        <row r="1459">
          <cell r="U1459">
            <v>6379892.2999999998</v>
          </cell>
        </row>
        <row r="1460">
          <cell r="U1460">
            <v>6598915.25</v>
          </cell>
        </row>
        <row r="1461">
          <cell r="U1461">
            <v>6488911.3399999999</v>
          </cell>
        </row>
        <row r="1462">
          <cell r="U1462">
            <v>4431586.3099999996</v>
          </cell>
        </row>
        <row r="1463">
          <cell r="U1463">
            <v>2659880.11</v>
          </cell>
        </row>
        <row r="1464">
          <cell r="U1464">
            <v>375397.35</v>
          </cell>
        </row>
        <row r="1465">
          <cell r="U1465">
            <v>1650390.88</v>
          </cell>
        </row>
        <row r="1466">
          <cell r="U1466">
            <v>112771.62</v>
          </cell>
        </row>
        <row r="1467">
          <cell r="U1467">
            <v>143843.22</v>
          </cell>
        </row>
        <row r="1468">
          <cell r="U1468">
            <v>59376</v>
          </cell>
        </row>
        <row r="1469">
          <cell r="U1469">
            <v>53126</v>
          </cell>
        </row>
        <row r="1470">
          <cell r="U1470">
            <v>53126</v>
          </cell>
        </row>
        <row r="1471">
          <cell r="U1471">
            <v>13672</v>
          </cell>
        </row>
        <row r="1472">
          <cell r="U1472">
            <v>54688</v>
          </cell>
        </row>
        <row r="1473">
          <cell r="U1473">
            <v>60937.5</v>
          </cell>
        </row>
        <row r="1474">
          <cell r="U1474">
            <v>122880</v>
          </cell>
        </row>
        <row r="1475">
          <cell r="U1475">
            <v>61250</v>
          </cell>
        </row>
        <row r="1476">
          <cell r="U1476">
            <v>171925</v>
          </cell>
        </row>
        <row r="1477">
          <cell r="U1477">
            <v>116415</v>
          </cell>
        </row>
        <row r="1478">
          <cell r="U1478">
            <v>432490</v>
          </cell>
        </row>
        <row r="1479">
          <cell r="U1479">
            <v>180290</v>
          </cell>
        </row>
        <row r="1480">
          <cell r="U1480">
            <v>125625</v>
          </cell>
        </row>
        <row r="1481">
          <cell r="U1481">
            <v>115000</v>
          </cell>
        </row>
        <row r="1482">
          <cell r="U1482">
            <v>349740</v>
          </cell>
        </row>
        <row r="1483">
          <cell r="U1483">
            <v>422120</v>
          </cell>
        </row>
        <row r="1484">
          <cell r="U1484">
            <v>119400</v>
          </cell>
        </row>
        <row r="1485">
          <cell r="U1485">
            <v>123125</v>
          </cell>
        </row>
        <row r="1486">
          <cell r="U1486">
            <v>29400</v>
          </cell>
        </row>
        <row r="1487">
          <cell r="U1487">
            <v>60625</v>
          </cell>
        </row>
        <row r="1488">
          <cell r="U1488">
            <v>5390</v>
          </cell>
        </row>
        <row r="1489">
          <cell r="U1489">
            <v>6075</v>
          </cell>
        </row>
        <row r="1490">
          <cell r="U1490">
            <v>110000</v>
          </cell>
        </row>
        <row r="1491">
          <cell r="U1491">
            <v>24000</v>
          </cell>
        </row>
        <row r="1492">
          <cell r="U1492">
            <v>129500</v>
          </cell>
        </row>
        <row r="1493">
          <cell r="U1493">
            <v>21600</v>
          </cell>
        </row>
        <row r="1494">
          <cell r="U1494">
            <v>14500</v>
          </cell>
        </row>
        <row r="1495">
          <cell r="U1495">
            <v>80500</v>
          </cell>
        </row>
        <row r="1496">
          <cell r="U1496">
            <v>14500</v>
          </cell>
        </row>
        <row r="1497">
          <cell r="U1497">
            <v>172500</v>
          </cell>
        </row>
        <row r="1498">
          <cell r="U1498">
            <v>172500</v>
          </cell>
        </row>
        <row r="1499">
          <cell r="U1499">
            <v>183000</v>
          </cell>
        </row>
        <row r="1500">
          <cell r="U1500">
            <v>183000</v>
          </cell>
        </row>
        <row r="1501">
          <cell r="U1501">
            <v>183000</v>
          </cell>
        </row>
        <row r="1502">
          <cell r="U1502">
            <v>5850</v>
          </cell>
        </row>
        <row r="1503">
          <cell r="U1503">
            <v>355000</v>
          </cell>
        </row>
        <row r="1504">
          <cell r="U1504">
            <v>355000</v>
          </cell>
        </row>
        <row r="1505">
          <cell r="U1505">
            <v>355000</v>
          </cell>
        </row>
        <row r="1506">
          <cell r="U1506">
            <v>346125</v>
          </cell>
        </row>
        <row r="1507">
          <cell r="U1507">
            <v>355000</v>
          </cell>
        </row>
        <row r="1508">
          <cell r="U1508">
            <v>355000</v>
          </cell>
        </row>
        <row r="1509">
          <cell r="U1509">
            <v>177500</v>
          </cell>
        </row>
        <row r="1510">
          <cell r="U1510">
            <v>355000</v>
          </cell>
        </row>
        <row r="1511">
          <cell r="U1511">
            <v>355000</v>
          </cell>
        </row>
        <row r="1512">
          <cell r="U1512">
            <v>349000</v>
          </cell>
        </row>
        <row r="1513">
          <cell r="U1513">
            <v>355000</v>
          </cell>
        </row>
        <row r="1514">
          <cell r="U1514">
            <v>355000</v>
          </cell>
        </row>
        <row r="1515">
          <cell r="U1515">
            <v>319500</v>
          </cell>
        </row>
        <row r="1516">
          <cell r="U1516">
            <v>333549.98</v>
          </cell>
        </row>
        <row r="1517">
          <cell r="U1517">
            <v>355000</v>
          </cell>
        </row>
        <row r="1518">
          <cell r="U1518">
            <v>355000</v>
          </cell>
        </row>
        <row r="1519">
          <cell r="U1519">
            <v>355000</v>
          </cell>
        </row>
        <row r="1520">
          <cell r="U1520">
            <v>355000</v>
          </cell>
        </row>
        <row r="1521">
          <cell r="U1521">
            <v>355000</v>
          </cell>
        </row>
        <row r="1522">
          <cell r="U1522">
            <v>355000</v>
          </cell>
        </row>
        <row r="1523">
          <cell r="U1523">
            <v>330000</v>
          </cell>
        </row>
        <row r="1524">
          <cell r="U1524">
            <v>337250</v>
          </cell>
        </row>
        <row r="1525">
          <cell r="U1525">
            <v>356000</v>
          </cell>
        </row>
        <row r="1526">
          <cell r="U1526">
            <v>356000</v>
          </cell>
        </row>
        <row r="1527">
          <cell r="U1527">
            <v>355000</v>
          </cell>
        </row>
        <row r="1528">
          <cell r="U1528">
            <v>356000</v>
          </cell>
        </row>
        <row r="1529">
          <cell r="U1529">
            <v>356000</v>
          </cell>
        </row>
        <row r="1530">
          <cell r="U1530">
            <v>325000</v>
          </cell>
        </row>
        <row r="1531">
          <cell r="U1531">
            <v>356000</v>
          </cell>
        </row>
        <row r="1532">
          <cell r="U1532">
            <v>329300</v>
          </cell>
        </row>
        <row r="1533">
          <cell r="U1533">
            <v>325000</v>
          </cell>
        </row>
        <row r="1534">
          <cell r="U1534">
            <v>356000</v>
          </cell>
        </row>
        <row r="1535">
          <cell r="U1535">
            <v>356000</v>
          </cell>
        </row>
        <row r="1536">
          <cell r="U1536">
            <v>356000</v>
          </cell>
        </row>
        <row r="1537">
          <cell r="U1537">
            <v>347100</v>
          </cell>
        </row>
        <row r="1538">
          <cell r="U1538">
            <v>356000</v>
          </cell>
        </row>
        <row r="1539">
          <cell r="U1539">
            <v>356000</v>
          </cell>
        </row>
        <row r="1540">
          <cell r="U1540">
            <v>356000</v>
          </cell>
        </row>
        <row r="1541">
          <cell r="U1541">
            <v>356000</v>
          </cell>
        </row>
        <row r="1542">
          <cell r="U1542">
            <v>326625</v>
          </cell>
        </row>
        <row r="1543">
          <cell r="U1543">
            <v>356000</v>
          </cell>
        </row>
        <row r="1544">
          <cell r="U1544">
            <v>356000</v>
          </cell>
        </row>
        <row r="1545">
          <cell r="U1545">
            <v>356000</v>
          </cell>
        </row>
        <row r="1546">
          <cell r="U1546">
            <v>356000</v>
          </cell>
        </row>
        <row r="1547">
          <cell r="U1547">
            <v>356000</v>
          </cell>
        </row>
        <row r="1548">
          <cell r="U1548">
            <v>325000</v>
          </cell>
        </row>
        <row r="1549">
          <cell r="U1549">
            <v>356000</v>
          </cell>
        </row>
        <row r="1550">
          <cell r="U1550">
            <v>352000</v>
          </cell>
        </row>
        <row r="1551">
          <cell r="U1551">
            <v>352000</v>
          </cell>
        </row>
        <row r="1552">
          <cell r="U1552">
            <v>352000</v>
          </cell>
        </row>
        <row r="1553">
          <cell r="U1553">
            <v>352000</v>
          </cell>
        </row>
        <row r="1554">
          <cell r="U1554">
            <v>320240</v>
          </cell>
        </row>
        <row r="1555">
          <cell r="U1555">
            <v>352000</v>
          </cell>
        </row>
        <row r="1556">
          <cell r="U1556">
            <v>352000</v>
          </cell>
        </row>
        <row r="1557">
          <cell r="U1557">
            <v>352000</v>
          </cell>
        </row>
        <row r="1558">
          <cell r="U1558">
            <v>352000</v>
          </cell>
        </row>
        <row r="1559">
          <cell r="U1559">
            <v>343200</v>
          </cell>
        </row>
        <row r="1560">
          <cell r="U1560">
            <v>320000</v>
          </cell>
        </row>
        <row r="1561">
          <cell r="U1561">
            <v>352000</v>
          </cell>
        </row>
        <row r="1562">
          <cell r="U1562">
            <v>352000</v>
          </cell>
        </row>
        <row r="1563">
          <cell r="U1563">
            <v>352000</v>
          </cell>
        </row>
        <row r="1564">
          <cell r="U1564">
            <v>321841.2</v>
          </cell>
        </row>
        <row r="1565">
          <cell r="U1565">
            <v>352000</v>
          </cell>
        </row>
        <row r="1566">
          <cell r="U1566">
            <v>352000</v>
          </cell>
        </row>
        <row r="1567">
          <cell r="U1567">
            <v>343200</v>
          </cell>
        </row>
        <row r="1568">
          <cell r="U1568">
            <v>320000</v>
          </cell>
        </row>
        <row r="1569">
          <cell r="U1569">
            <v>352000</v>
          </cell>
        </row>
        <row r="1570">
          <cell r="U1570">
            <v>352000</v>
          </cell>
        </row>
        <row r="1571">
          <cell r="U1571">
            <v>352000</v>
          </cell>
        </row>
        <row r="1572">
          <cell r="U1572">
            <v>352000</v>
          </cell>
        </row>
        <row r="1573">
          <cell r="U1573">
            <v>352000</v>
          </cell>
        </row>
        <row r="1574">
          <cell r="U1574">
            <v>345000</v>
          </cell>
        </row>
        <row r="1575">
          <cell r="U1575">
            <v>345000</v>
          </cell>
        </row>
        <row r="1576">
          <cell r="U1576">
            <v>345000</v>
          </cell>
        </row>
        <row r="1577">
          <cell r="U1577">
            <v>345000</v>
          </cell>
        </row>
        <row r="1578">
          <cell r="U1578">
            <v>345000</v>
          </cell>
        </row>
        <row r="1579">
          <cell r="U1579">
            <v>312000</v>
          </cell>
        </row>
        <row r="1580">
          <cell r="U1580">
            <v>345000</v>
          </cell>
        </row>
        <row r="1581">
          <cell r="U1581">
            <v>345000</v>
          </cell>
        </row>
        <row r="1582">
          <cell r="U1582">
            <v>345000</v>
          </cell>
        </row>
        <row r="1583">
          <cell r="U1583">
            <v>312000</v>
          </cell>
        </row>
        <row r="1584">
          <cell r="U1584">
            <v>345000</v>
          </cell>
        </row>
        <row r="1585">
          <cell r="U1585">
            <v>345000</v>
          </cell>
        </row>
        <row r="1586">
          <cell r="U1586">
            <v>345000</v>
          </cell>
        </row>
        <row r="1587">
          <cell r="U1587">
            <v>345000</v>
          </cell>
        </row>
        <row r="1588">
          <cell r="U1588">
            <v>345000</v>
          </cell>
        </row>
        <row r="1589">
          <cell r="U1589">
            <v>319800</v>
          </cell>
        </row>
        <row r="1590">
          <cell r="U1590">
            <v>345000</v>
          </cell>
        </row>
        <row r="1591">
          <cell r="U1591">
            <v>336375</v>
          </cell>
        </row>
        <row r="1592">
          <cell r="U1592">
            <v>345000</v>
          </cell>
        </row>
        <row r="1593">
          <cell r="U1593">
            <v>330525</v>
          </cell>
        </row>
        <row r="1594">
          <cell r="U1594">
            <v>345000</v>
          </cell>
        </row>
        <row r="1595">
          <cell r="U1595">
            <v>338000</v>
          </cell>
        </row>
        <row r="1596">
          <cell r="U1596">
            <v>322050</v>
          </cell>
        </row>
        <row r="1597">
          <cell r="U1597">
            <v>338000</v>
          </cell>
        </row>
        <row r="1598">
          <cell r="U1598">
            <v>338000</v>
          </cell>
        </row>
        <row r="1599">
          <cell r="U1599">
            <v>339000</v>
          </cell>
        </row>
        <row r="1600">
          <cell r="U1600">
            <v>305228.75</v>
          </cell>
        </row>
        <row r="1601">
          <cell r="U1601">
            <v>338000</v>
          </cell>
        </row>
        <row r="1602">
          <cell r="U1602">
            <v>338000</v>
          </cell>
        </row>
        <row r="1603">
          <cell r="U1603">
            <v>330525</v>
          </cell>
        </row>
        <row r="1604">
          <cell r="U1604">
            <v>305100</v>
          </cell>
        </row>
        <row r="1605">
          <cell r="U1605">
            <v>339000</v>
          </cell>
        </row>
        <row r="1606">
          <cell r="U1606">
            <v>306754.89</v>
          </cell>
        </row>
        <row r="1607">
          <cell r="U1607">
            <v>338000</v>
          </cell>
        </row>
        <row r="1608">
          <cell r="U1608">
            <v>330525</v>
          </cell>
        </row>
        <row r="1609">
          <cell r="U1609">
            <v>339000</v>
          </cell>
        </row>
        <row r="1610">
          <cell r="U1610">
            <v>338000</v>
          </cell>
        </row>
        <row r="1611">
          <cell r="U1611">
            <v>305228.75</v>
          </cell>
        </row>
        <row r="1612">
          <cell r="U1612">
            <v>338000</v>
          </cell>
        </row>
        <row r="1613">
          <cell r="U1613">
            <v>337305</v>
          </cell>
        </row>
        <row r="1614">
          <cell r="U1614">
            <v>338000</v>
          </cell>
        </row>
        <row r="1615">
          <cell r="U1615">
            <v>339000</v>
          </cell>
        </row>
        <row r="1616">
          <cell r="U1616">
            <v>338000</v>
          </cell>
        </row>
        <row r="1617">
          <cell r="U1617">
            <v>311550</v>
          </cell>
        </row>
        <row r="1618">
          <cell r="U1618">
            <v>339000</v>
          </cell>
        </row>
        <row r="1619">
          <cell r="U1619">
            <v>338000</v>
          </cell>
        </row>
        <row r="1620">
          <cell r="U1620">
            <v>338000</v>
          </cell>
        </row>
        <row r="1621">
          <cell r="U1621">
            <v>339000</v>
          </cell>
        </row>
        <row r="1622">
          <cell r="U1622">
            <v>310000</v>
          </cell>
        </row>
        <row r="1623">
          <cell r="U1623">
            <v>339000</v>
          </cell>
        </row>
        <row r="1624">
          <cell r="U1624">
            <v>338000</v>
          </cell>
        </row>
        <row r="1625">
          <cell r="U1625">
            <v>339000</v>
          </cell>
        </row>
        <row r="1626">
          <cell r="U1626">
            <v>338000</v>
          </cell>
        </row>
        <row r="1627">
          <cell r="U1627">
            <v>339000</v>
          </cell>
        </row>
        <row r="1628">
          <cell r="U1628">
            <v>338000</v>
          </cell>
        </row>
        <row r="1629">
          <cell r="U1629">
            <v>339000</v>
          </cell>
        </row>
        <row r="1630">
          <cell r="U1630">
            <v>330525</v>
          </cell>
        </row>
        <row r="1631">
          <cell r="U1631">
            <v>338000</v>
          </cell>
        </row>
        <row r="1632">
          <cell r="U1632">
            <v>338000</v>
          </cell>
        </row>
        <row r="1633">
          <cell r="U1633">
            <v>339000</v>
          </cell>
        </row>
        <row r="1634">
          <cell r="U1634">
            <v>338000</v>
          </cell>
        </row>
        <row r="1635">
          <cell r="U1635">
            <v>339000</v>
          </cell>
        </row>
        <row r="1636">
          <cell r="U1636">
            <v>339000</v>
          </cell>
        </row>
        <row r="1637">
          <cell r="U1637">
            <v>332475</v>
          </cell>
        </row>
        <row r="1638">
          <cell r="U1638">
            <v>339000</v>
          </cell>
        </row>
        <row r="1639">
          <cell r="U1639">
            <v>341000</v>
          </cell>
        </row>
        <row r="1640">
          <cell r="U1640">
            <v>339000</v>
          </cell>
        </row>
        <row r="1641">
          <cell r="U1641">
            <v>341000</v>
          </cell>
        </row>
        <row r="1642">
          <cell r="U1642">
            <v>294500</v>
          </cell>
        </row>
        <row r="1643">
          <cell r="U1643">
            <v>339000</v>
          </cell>
        </row>
        <row r="1644">
          <cell r="U1644">
            <v>341000</v>
          </cell>
        </row>
        <row r="1645">
          <cell r="U1645">
            <v>339000</v>
          </cell>
        </row>
        <row r="1646">
          <cell r="U1646">
            <v>341000</v>
          </cell>
        </row>
        <row r="1647">
          <cell r="U1647">
            <v>339000</v>
          </cell>
        </row>
        <row r="1648">
          <cell r="U1648">
            <v>341000</v>
          </cell>
        </row>
        <row r="1649">
          <cell r="U1649">
            <v>339000</v>
          </cell>
        </row>
        <row r="1650">
          <cell r="U1650">
            <v>341000</v>
          </cell>
        </row>
        <row r="1651">
          <cell r="U1651">
            <v>310000</v>
          </cell>
        </row>
        <row r="1652">
          <cell r="U1652">
            <v>339000</v>
          </cell>
        </row>
        <row r="1653">
          <cell r="U1653">
            <v>341000</v>
          </cell>
        </row>
        <row r="1654">
          <cell r="U1654">
            <v>339000</v>
          </cell>
        </row>
        <row r="1655">
          <cell r="U1655">
            <v>341000</v>
          </cell>
        </row>
        <row r="1656">
          <cell r="U1656">
            <v>315425</v>
          </cell>
        </row>
        <row r="1657">
          <cell r="U1657">
            <v>345000</v>
          </cell>
        </row>
        <row r="1658">
          <cell r="U1658">
            <v>345000</v>
          </cell>
        </row>
        <row r="1659">
          <cell r="U1659">
            <v>346000</v>
          </cell>
        </row>
        <row r="1660">
          <cell r="U1660">
            <v>345000</v>
          </cell>
        </row>
        <row r="1661">
          <cell r="U1661">
            <v>346000</v>
          </cell>
        </row>
        <row r="1662">
          <cell r="U1662">
            <v>345000</v>
          </cell>
        </row>
        <row r="1663">
          <cell r="U1663">
            <v>346000</v>
          </cell>
        </row>
        <row r="1664">
          <cell r="U1664">
            <v>345000</v>
          </cell>
        </row>
        <row r="1665">
          <cell r="U1665">
            <v>346000</v>
          </cell>
        </row>
        <row r="1666">
          <cell r="U1666">
            <v>345000</v>
          </cell>
        </row>
        <row r="1667">
          <cell r="U1667">
            <v>346000</v>
          </cell>
        </row>
        <row r="1668">
          <cell r="U1668">
            <v>316000</v>
          </cell>
        </row>
        <row r="1669">
          <cell r="U1669">
            <v>345000</v>
          </cell>
        </row>
        <row r="1670">
          <cell r="U1670">
            <v>346000</v>
          </cell>
        </row>
        <row r="1671">
          <cell r="U1671">
            <v>345000</v>
          </cell>
        </row>
        <row r="1672">
          <cell r="U1672">
            <v>346000</v>
          </cell>
        </row>
        <row r="1673">
          <cell r="U1673">
            <v>346000</v>
          </cell>
        </row>
        <row r="1674">
          <cell r="U1674">
            <v>345000</v>
          </cell>
        </row>
        <row r="1675">
          <cell r="U1675">
            <v>345000</v>
          </cell>
        </row>
        <row r="1676">
          <cell r="U1676">
            <v>316000</v>
          </cell>
        </row>
        <row r="1677">
          <cell r="U1677">
            <v>319160</v>
          </cell>
        </row>
        <row r="1678">
          <cell r="U1678">
            <v>349000</v>
          </cell>
        </row>
        <row r="1679">
          <cell r="U1679">
            <v>349000</v>
          </cell>
        </row>
        <row r="1680">
          <cell r="U1680">
            <v>-349000</v>
          </cell>
        </row>
        <row r="1681">
          <cell r="U1681">
            <v>345000</v>
          </cell>
        </row>
        <row r="1682">
          <cell r="U1682">
            <v>308000</v>
          </cell>
        </row>
        <row r="1683">
          <cell r="U1683">
            <v>349000</v>
          </cell>
        </row>
        <row r="1684">
          <cell r="U1684">
            <v>346000</v>
          </cell>
        </row>
        <row r="1685">
          <cell r="U1685">
            <v>349000</v>
          </cell>
        </row>
        <row r="1686">
          <cell r="U1686">
            <v>349000</v>
          </cell>
        </row>
        <row r="1687">
          <cell r="U1687">
            <v>308000</v>
          </cell>
        </row>
        <row r="1688">
          <cell r="U1688">
            <v>340275</v>
          </cell>
        </row>
        <row r="1689">
          <cell r="U1689">
            <v>349000</v>
          </cell>
        </row>
        <row r="1690">
          <cell r="U1690">
            <v>349000</v>
          </cell>
        </row>
        <row r="1691">
          <cell r="U1691">
            <v>349000</v>
          </cell>
        </row>
        <row r="1692">
          <cell r="U1692">
            <v>308000</v>
          </cell>
        </row>
        <row r="1693">
          <cell r="U1693">
            <v>349000</v>
          </cell>
        </row>
        <row r="1694">
          <cell r="U1694">
            <v>349000</v>
          </cell>
        </row>
        <row r="1695">
          <cell r="U1695">
            <v>349000</v>
          </cell>
        </row>
        <row r="1696">
          <cell r="U1696">
            <v>349000</v>
          </cell>
        </row>
        <row r="1697">
          <cell r="U1697">
            <v>18050</v>
          </cell>
        </row>
        <row r="1698">
          <cell r="U1698">
            <v>360</v>
          </cell>
        </row>
        <row r="1699">
          <cell r="U1699">
            <v>330</v>
          </cell>
        </row>
        <row r="1700">
          <cell r="U1700">
            <v>220</v>
          </cell>
        </row>
        <row r="1701">
          <cell r="U1701">
            <v>220</v>
          </cell>
        </row>
        <row r="1702">
          <cell r="U1702">
            <v>220</v>
          </cell>
        </row>
        <row r="1703">
          <cell r="U1703">
            <v>2200</v>
          </cell>
        </row>
        <row r="1704">
          <cell r="U1704">
            <v>500</v>
          </cell>
        </row>
        <row r="1705">
          <cell r="U1705">
            <v>250</v>
          </cell>
        </row>
        <row r="1706">
          <cell r="U1706">
            <v>250</v>
          </cell>
        </row>
        <row r="1707">
          <cell r="U1707">
            <v>19000</v>
          </cell>
        </row>
        <row r="1708">
          <cell r="U1708">
            <v>64</v>
          </cell>
        </row>
        <row r="1709">
          <cell r="U1709">
            <v>64</v>
          </cell>
        </row>
        <row r="1710">
          <cell r="U1710">
            <v>160</v>
          </cell>
        </row>
        <row r="1711">
          <cell r="U1711">
            <v>160</v>
          </cell>
        </row>
        <row r="1712">
          <cell r="U1712">
            <v>160</v>
          </cell>
        </row>
        <row r="1713">
          <cell r="U1713">
            <v>46500</v>
          </cell>
        </row>
        <row r="1714">
          <cell r="U1714">
            <v>49500</v>
          </cell>
        </row>
        <row r="1715">
          <cell r="U1715">
            <v>44200</v>
          </cell>
        </row>
        <row r="1716">
          <cell r="U1716">
            <v>110510</v>
          </cell>
        </row>
        <row r="1717">
          <cell r="U1717">
            <v>110510</v>
          </cell>
        </row>
        <row r="1718">
          <cell r="U1718">
            <v>46260</v>
          </cell>
        </row>
        <row r="1719">
          <cell r="U1719">
            <v>46260</v>
          </cell>
        </row>
        <row r="1720">
          <cell r="U1720">
            <v>46260</v>
          </cell>
        </row>
        <row r="1721">
          <cell r="U1721">
            <v>110510</v>
          </cell>
        </row>
        <row r="1722">
          <cell r="U1722">
            <v>46260</v>
          </cell>
        </row>
        <row r="1723">
          <cell r="U1723">
            <v>110510</v>
          </cell>
        </row>
        <row r="1724">
          <cell r="U1724">
            <v>110510</v>
          </cell>
        </row>
        <row r="1725">
          <cell r="U1725">
            <v>110510</v>
          </cell>
        </row>
        <row r="1726">
          <cell r="U1726">
            <v>110510</v>
          </cell>
        </row>
        <row r="1727">
          <cell r="U1727">
            <v>110510</v>
          </cell>
        </row>
        <row r="1728">
          <cell r="U1728">
            <v>110510</v>
          </cell>
        </row>
        <row r="1729">
          <cell r="U1729">
            <v>46260</v>
          </cell>
        </row>
        <row r="1730">
          <cell r="U1730">
            <v>110510</v>
          </cell>
        </row>
        <row r="1731">
          <cell r="U1731">
            <v>110510</v>
          </cell>
        </row>
        <row r="1732">
          <cell r="U1732">
            <v>110510</v>
          </cell>
        </row>
        <row r="1733">
          <cell r="U1733">
            <v>110510</v>
          </cell>
        </row>
        <row r="1734">
          <cell r="U1734">
            <v>110510</v>
          </cell>
        </row>
        <row r="1735">
          <cell r="U1735">
            <v>110510</v>
          </cell>
        </row>
        <row r="1736">
          <cell r="U1736">
            <v>110510</v>
          </cell>
        </row>
        <row r="1737">
          <cell r="U1737">
            <v>110510</v>
          </cell>
        </row>
        <row r="1738">
          <cell r="U1738">
            <v>-110510</v>
          </cell>
        </row>
        <row r="1739">
          <cell r="U1739">
            <v>110510</v>
          </cell>
        </row>
        <row r="1740">
          <cell r="U1740">
            <v>46260</v>
          </cell>
        </row>
        <row r="1741">
          <cell r="U1741">
            <v>89950</v>
          </cell>
        </row>
        <row r="1742">
          <cell r="U1742">
            <v>20560</v>
          </cell>
        </row>
        <row r="1743">
          <cell r="U1743">
            <v>110510</v>
          </cell>
        </row>
        <row r="1744">
          <cell r="U1744">
            <v>46260</v>
          </cell>
        </row>
        <row r="1745">
          <cell r="U1745">
            <v>110510</v>
          </cell>
        </row>
        <row r="1746">
          <cell r="U1746">
            <v>46260</v>
          </cell>
        </row>
        <row r="1747">
          <cell r="U1747">
            <v>110510</v>
          </cell>
        </row>
        <row r="1748">
          <cell r="U1748">
            <v>110510</v>
          </cell>
        </row>
        <row r="1749">
          <cell r="U1749">
            <v>110510</v>
          </cell>
        </row>
        <row r="1750">
          <cell r="U1750">
            <v>46260</v>
          </cell>
        </row>
        <row r="1751">
          <cell r="U1751">
            <v>46260</v>
          </cell>
        </row>
        <row r="1752">
          <cell r="U1752">
            <v>46260</v>
          </cell>
        </row>
        <row r="1753">
          <cell r="U1753">
            <v>46260</v>
          </cell>
        </row>
        <row r="1754">
          <cell r="U1754">
            <v>46260</v>
          </cell>
        </row>
        <row r="1755">
          <cell r="U1755">
            <v>82240</v>
          </cell>
        </row>
        <row r="1756">
          <cell r="U1756">
            <v>61250</v>
          </cell>
        </row>
        <row r="1757">
          <cell r="U1757">
            <v>105350</v>
          </cell>
        </row>
        <row r="1758">
          <cell r="U1758">
            <v>105350</v>
          </cell>
        </row>
        <row r="1759">
          <cell r="U1759">
            <v>105350</v>
          </cell>
        </row>
        <row r="1760">
          <cell r="U1760">
            <v>105350</v>
          </cell>
        </row>
        <row r="1761">
          <cell r="U1761">
            <v>28270</v>
          </cell>
        </row>
        <row r="1762">
          <cell r="U1762">
            <v>105350</v>
          </cell>
        </row>
        <row r="1763">
          <cell r="U1763">
            <v>105350</v>
          </cell>
        </row>
        <row r="1764">
          <cell r="U1764">
            <v>105350</v>
          </cell>
        </row>
        <row r="1765">
          <cell r="U1765">
            <v>105350</v>
          </cell>
        </row>
        <row r="1766">
          <cell r="U1766">
            <v>110250</v>
          </cell>
        </row>
        <row r="1767">
          <cell r="U1767">
            <v>105350</v>
          </cell>
        </row>
        <row r="1768">
          <cell r="U1768">
            <v>105350</v>
          </cell>
        </row>
        <row r="1769">
          <cell r="U1769">
            <v>56350</v>
          </cell>
        </row>
        <row r="1770">
          <cell r="U1770">
            <v>105350</v>
          </cell>
        </row>
        <row r="1771">
          <cell r="U1771">
            <v>105350</v>
          </cell>
        </row>
        <row r="1772">
          <cell r="U1772">
            <v>44100</v>
          </cell>
        </row>
        <row r="1773">
          <cell r="U1773">
            <v>105350</v>
          </cell>
        </row>
        <row r="1774">
          <cell r="U1774">
            <v>105350</v>
          </cell>
        </row>
        <row r="1775">
          <cell r="U1775">
            <v>105350</v>
          </cell>
        </row>
        <row r="1776">
          <cell r="U1776">
            <v>8100</v>
          </cell>
        </row>
        <row r="1777">
          <cell r="U1777">
            <v>7920</v>
          </cell>
        </row>
        <row r="1778">
          <cell r="U1778">
            <v>8100</v>
          </cell>
        </row>
        <row r="1779">
          <cell r="U1779">
            <v>7225</v>
          </cell>
        </row>
        <row r="1780">
          <cell r="U1780">
            <v>7225</v>
          </cell>
        </row>
        <row r="1781">
          <cell r="U1781">
            <v>7140</v>
          </cell>
        </row>
        <row r="1782">
          <cell r="U1782">
            <v>10200</v>
          </cell>
        </row>
        <row r="1783">
          <cell r="U1783">
            <v>12600</v>
          </cell>
        </row>
        <row r="1784">
          <cell r="U1784">
            <v>58500</v>
          </cell>
        </row>
        <row r="1785">
          <cell r="U1785">
            <v>234000</v>
          </cell>
        </row>
        <row r="1786">
          <cell r="U1786">
            <v>152250</v>
          </cell>
        </row>
        <row r="1787">
          <cell r="U1787">
            <v>39600</v>
          </cell>
        </row>
        <row r="1788">
          <cell r="U1788">
            <v>119700</v>
          </cell>
        </row>
        <row r="1789">
          <cell r="U1789">
            <v>20800</v>
          </cell>
        </row>
        <row r="1790">
          <cell r="U1790">
            <v>180700</v>
          </cell>
        </row>
        <row r="1791">
          <cell r="U1791">
            <v>43750</v>
          </cell>
        </row>
        <row r="1792">
          <cell r="U1792">
            <v>43750</v>
          </cell>
        </row>
        <row r="1793">
          <cell r="U1793">
            <v>45750</v>
          </cell>
        </row>
        <row r="1794">
          <cell r="U1794">
            <v>45750</v>
          </cell>
        </row>
        <row r="1795">
          <cell r="U1795">
            <v>45750</v>
          </cell>
        </row>
        <row r="1796">
          <cell r="U1796">
            <v>45750</v>
          </cell>
        </row>
        <row r="1797">
          <cell r="U1797">
            <v>45750</v>
          </cell>
        </row>
        <row r="1798">
          <cell r="U1798">
            <v>45750</v>
          </cell>
        </row>
        <row r="1799">
          <cell r="U1799">
            <v>45750</v>
          </cell>
        </row>
        <row r="1800">
          <cell r="U1800">
            <v>45750</v>
          </cell>
        </row>
        <row r="1801">
          <cell r="U1801">
            <v>45750</v>
          </cell>
        </row>
        <row r="1802">
          <cell r="U1802">
            <v>45750</v>
          </cell>
        </row>
        <row r="1803">
          <cell r="U1803">
            <v>45750</v>
          </cell>
        </row>
        <row r="1804">
          <cell r="U1804">
            <v>78690</v>
          </cell>
        </row>
        <row r="1805">
          <cell r="U1805">
            <v>12810</v>
          </cell>
        </row>
        <row r="1806">
          <cell r="U1806">
            <v>20130</v>
          </cell>
        </row>
        <row r="1807">
          <cell r="U1807">
            <v>45750</v>
          </cell>
        </row>
        <row r="1808">
          <cell r="U1808">
            <v>36400</v>
          </cell>
        </row>
        <row r="1809">
          <cell r="U1809">
            <v>45500</v>
          </cell>
        </row>
        <row r="1810">
          <cell r="U1810">
            <v>28285.200000000001</v>
          </cell>
        </row>
        <row r="1811">
          <cell r="U1811">
            <v>9000</v>
          </cell>
        </row>
        <row r="1812">
          <cell r="U1812">
            <v>9000</v>
          </cell>
        </row>
        <row r="1813">
          <cell r="U1813">
            <v>8820</v>
          </cell>
        </row>
        <row r="1814">
          <cell r="U1814">
            <v>4110</v>
          </cell>
        </row>
        <row r="1815">
          <cell r="U1815">
            <v>1050</v>
          </cell>
        </row>
        <row r="1816">
          <cell r="U1816">
            <v>3000</v>
          </cell>
        </row>
        <row r="1817">
          <cell r="U1817">
            <v>2000</v>
          </cell>
        </row>
        <row r="1818">
          <cell r="U1818">
            <v>2500</v>
          </cell>
        </row>
        <row r="1819">
          <cell r="U1819">
            <v>2500</v>
          </cell>
        </row>
        <row r="1820">
          <cell r="U1820">
            <v>2500</v>
          </cell>
        </row>
        <row r="1821">
          <cell r="U1821">
            <v>2500</v>
          </cell>
        </row>
        <row r="1822">
          <cell r="U1822">
            <v>2500</v>
          </cell>
        </row>
        <row r="1823">
          <cell r="U1823">
            <v>2500</v>
          </cell>
        </row>
        <row r="1824">
          <cell r="U1824">
            <v>7500</v>
          </cell>
        </row>
        <row r="1825">
          <cell r="U1825">
            <v>2250</v>
          </cell>
        </row>
        <row r="1826">
          <cell r="U1826">
            <v>50400</v>
          </cell>
        </row>
        <row r="1827">
          <cell r="U1827">
            <v>2781581.04</v>
          </cell>
        </row>
        <row r="1828">
          <cell r="U1828">
            <v>2775337.56</v>
          </cell>
        </row>
        <row r="1829">
          <cell r="U1829">
            <v>1069313.6499999999</v>
          </cell>
        </row>
        <row r="1830">
          <cell r="U1830">
            <v>3418649.25</v>
          </cell>
        </row>
        <row r="1831">
          <cell r="U1831">
            <v>1152654.24</v>
          </cell>
        </row>
        <row r="1832">
          <cell r="U1832">
            <v>1152657.72</v>
          </cell>
        </row>
        <row r="1833">
          <cell r="U1833">
            <v>1132696.56</v>
          </cell>
        </row>
        <row r="1834">
          <cell r="U1834">
            <v>1132690.44</v>
          </cell>
        </row>
        <row r="1835">
          <cell r="U1835">
            <v>1132690.08</v>
          </cell>
        </row>
        <row r="1836">
          <cell r="U1836">
            <v>21700</v>
          </cell>
        </row>
        <row r="1837">
          <cell r="U1837">
            <v>22821.43</v>
          </cell>
        </row>
        <row r="1838">
          <cell r="U1838">
            <v>24150</v>
          </cell>
        </row>
        <row r="1839">
          <cell r="U1839">
            <v>23250</v>
          </cell>
        </row>
        <row r="1840">
          <cell r="U1840">
            <v>23823.29</v>
          </cell>
        </row>
        <row r="1841">
          <cell r="U1841">
            <v>23800</v>
          </cell>
        </row>
        <row r="1842">
          <cell r="U1842">
            <v>23300</v>
          </cell>
        </row>
        <row r="1843">
          <cell r="U1843">
            <v>23300</v>
          </cell>
        </row>
        <row r="1844">
          <cell r="U1844">
            <v>23186.3</v>
          </cell>
        </row>
        <row r="1845">
          <cell r="U1845">
            <v>25033.56</v>
          </cell>
        </row>
        <row r="1846">
          <cell r="U1846">
            <v>21530.14</v>
          </cell>
        </row>
        <row r="1847">
          <cell r="U1847">
            <v>92435</v>
          </cell>
        </row>
        <row r="1848">
          <cell r="U1848">
            <v>92435</v>
          </cell>
        </row>
        <row r="1849">
          <cell r="U1849">
            <v>161761.25</v>
          </cell>
        </row>
        <row r="1850">
          <cell r="U1850">
            <v>138652.5</v>
          </cell>
        </row>
        <row r="1851">
          <cell r="U1851">
            <v>161761.25</v>
          </cell>
        </row>
        <row r="1852">
          <cell r="U1852">
            <v>38902.5</v>
          </cell>
        </row>
        <row r="1853">
          <cell r="U1853">
            <v>25935</v>
          </cell>
        </row>
        <row r="1854">
          <cell r="U1854">
            <v>25935</v>
          </cell>
        </row>
        <row r="1855">
          <cell r="U1855">
            <v>6483.75</v>
          </cell>
        </row>
        <row r="1856">
          <cell r="U1856">
            <v>25935</v>
          </cell>
        </row>
        <row r="1857">
          <cell r="U1857">
            <v>19451.25</v>
          </cell>
        </row>
        <row r="1858">
          <cell r="U1858">
            <v>4875</v>
          </cell>
        </row>
        <row r="1859">
          <cell r="U1859">
            <v>7500</v>
          </cell>
        </row>
        <row r="1860">
          <cell r="U1860">
            <v>6000</v>
          </cell>
        </row>
        <row r="1861">
          <cell r="U1861">
            <v>5250</v>
          </cell>
        </row>
        <row r="1862">
          <cell r="U1862">
            <v>6250</v>
          </cell>
        </row>
        <row r="1863">
          <cell r="U1863">
            <v>1625</v>
          </cell>
        </row>
        <row r="1864">
          <cell r="U1864">
            <v>6250</v>
          </cell>
        </row>
        <row r="1865">
          <cell r="U1865">
            <v>500</v>
          </cell>
        </row>
        <row r="1866">
          <cell r="U1866">
            <v>5625</v>
          </cell>
        </row>
        <row r="1867">
          <cell r="U1867">
            <v>1125</v>
          </cell>
        </row>
        <row r="1868">
          <cell r="U1868">
            <v>14940</v>
          </cell>
        </row>
        <row r="1869">
          <cell r="U1869">
            <v>15024</v>
          </cell>
        </row>
        <row r="1870">
          <cell r="U1870">
            <v>15000</v>
          </cell>
        </row>
        <row r="1871">
          <cell r="U1871">
            <v>14850</v>
          </cell>
        </row>
        <row r="1872">
          <cell r="U1872">
            <v>15054</v>
          </cell>
        </row>
        <row r="1873">
          <cell r="U1873">
            <v>14934</v>
          </cell>
        </row>
        <row r="1874">
          <cell r="U1874">
            <v>14880</v>
          </cell>
        </row>
        <row r="1875">
          <cell r="U1875">
            <v>15000</v>
          </cell>
        </row>
        <row r="1876">
          <cell r="U1876">
            <v>15000</v>
          </cell>
        </row>
        <row r="1877">
          <cell r="U1877">
            <v>15000</v>
          </cell>
        </row>
        <row r="1878">
          <cell r="U1878">
            <v>15000</v>
          </cell>
        </row>
        <row r="1879">
          <cell r="U1879">
            <v>15000</v>
          </cell>
        </row>
        <row r="1880">
          <cell r="U1880">
            <v>14922</v>
          </cell>
        </row>
        <row r="1881">
          <cell r="U1881">
            <v>14742</v>
          </cell>
        </row>
        <row r="1882">
          <cell r="U1882">
            <v>14748</v>
          </cell>
        </row>
        <row r="1883">
          <cell r="U1883">
            <v>14700</v>
          </cell>
        </row>
        <row r="1884">
          <cell r="U1884">
            <v>15000</v>
          </cell>
        </row>
        <row r="1885">
          <cell r="U1885">
            <v>14964</v>
          </cell>
        </row>
        <row r="1886">
          <cell r="U1886">
            <v>14988</v>
          </cell>
        </row>
        <row r="1887">
          <cell r="U1887">
            <v>15084</v>
          </cell>
        </row>
        <row r="1888">
          <cell r="U1888">
            <v>15084</v>
          </cell>
        </row>
        <row r="1889">
          <cell r="U1889">
            <v>15060</v>
          </cell>
        </row>
        <row r="1890">
          <cell r="U1890">
            <v>14976</v>
          </cell>
        </row>
        <row r="1891">
          <cell r="U1891">
            <v>14976</v>
          </cell>
        </row>
        <row r="1892">
          <cell r="U1892">
            <v>15042</v>
          </cell>
        </row>
        <row r="1893">
          <cell r="U1893">
            <v>15066</v>
          </cell>
        </row>
        <row r="1894">
          <cell r="U1894">
            <v>14754</v>
          </cell>
        </row>
        <row r="1895">
          <cell r="U1895">
            <v>14964</v>
          </cell>
        </row>
        <row r="1896">
          <cell r="U1896">
            <v>14964</v>
          </cell>
        </row>
        <row r="1897">
          <cell r="U1897">
            <v>15084</v>
          </cell>
        </row>
        <row r="1898">
          <cell r="U1898">
            <v>15036</v>
          </cell>
        </row>
        <row r="1899">
          <cell r="U1899">
            <v>15084</v>
          </cell>
        </row>
        <row r="1900">
          <cell r="U1900">
            <v>14982</v>
          </cell>
        </row>
        <row r="1901">
          <cell r="U1901">
            <v>14988</v>
          </cell>
        </row>
        <row r="1902">
          <cell r="U1902">
            <v>15000</v>
          </cell>
        </row>
        <row r="1903">
          <cell r="U1903">
            <v>15000</v>
          </cell>
        </row>
        <row r="1904">
          <cell r="U1904">
            <v>15000</v>
          </cell>
        </row>
        <row r="1905">
          <cell r="U1905">
            <v>14958</v>
          </cell>
        </row>
        <row r="1906">
          <cell r="U1906">
            <v>15000</v>
          </cell>
        </row>
        <row r="1907">
          <cell r="U1907">
            <v>15000</v>
          </cell>
        </row>
        <row r="1908">
          <cell r="U1908">
            <v>15000</v>
          </cell>
        </row>
        <row r="1909">
          <cell r="U1909">
            <v>14952</v>
          </cell>
        </row>
        <row r="1910">
          <cell r="U1910">
            <v>20052</v>
          </cell>
        </row>
        <row r="1911">
          <cell r="U1911">
            <v>15096</v>
          </cell>
        </row>
        <row r="1912">
          <cell r="U1912">
            <v>15000</v>
          </cell>
        </row>
        <row r="1913">
          <cell r="U1913">
            <v>15000</v>
          </cell>
        </row>
        <row r="1914">
          <cell r="U1914">
            <v>15000</v>
          </cell>
        </row>
        <row r="1915">
          <cell r="U1915">
            <v>15000</v>
          </cell>
        </row>
        <row r="1916">
          <cell r="U1916">
            <v>15000</v>
          </cell>
        </row>
        <row r="1917">
          <cell r="U1917">
            <v>15725</v>
          </cell>
        </row>
        <row r="1918">
          <cell r="U1918">
            <v>14830</v>
          </cell>
        </row>
        <row r="1919">
          <cell r="U1919">
            <v>16402.5</v>
          </cell>
        </row>
        <row r="1920">
          <cell r="U1920">
            <v>1572.5</v>
          </cell>
        </row>
        <row r="1921">
          <cell r="U1921">
            <v>14830</v>
          </cell>
        </row>
        <row r="1922">
          <cell r="U1922">
            <v>17152.5</v>
          </cell>
        </row>
        <row r="1923">
          <cell r="U1923">
            <v>17152.5</v>
          </cell>
        </row>
        <row r="1924">
          <cell r="U1924">
            <v>17152.5</v>
          </cell>
        </row>
        <row r="1925">
          <cell r="U1925">
            <v>23442.5</v>
          </cell>
        </row>
        <row r="1926">
          <cell r="U1926">
            <v>21870</v>
          </cell>
        </row>
        <row r="1927">
          <cell r="U1927">
            <v>26587.5</v>
          </cell>
        </row>
        <row r="1928">
          <cell r="U1928">
            <v>42312.5</v>
          </cell>
        </row>
        <row r="1929">
          <cell r="U1929">
            <v>23512.5</v>
          </cell>
        </row>
        <row r="1930">
          <cell r="U1930">
            <v>47025</v>
          </cell>
        </row>
        <row r="1931">
          <cell r="U1931">
            <v>11756.25</v>
          </cell>
        </row>
        <row r="1932">
          <cell r="U1932">
            <v>11756.25</v>
          </cell>
        </row>
        <row r="1933">
          <cell r="U1933">
            <v>11756.25</v>
          </cell>
        </row>
        <row r="1934">
          <cell r="U1934">
            <v>49525</v>
          </cell>
        </row>
        <row r="1935">
          <cell r="U1935">
            <v>12250</v>
          </cell>
        </row>
        <row r="1936">
          <cell r="U1936">
            <v>12250</v>
          </cell>
        </row>
        <row r="1937">
          <cell r="U1937">
            <v>12250</v>
          </cell>
        </row>
        <row r="1938">
          <cell r="U1938">
            <v>7560</v>
          </cell>
        </row>
        <row r="1939">
          <cell r="U1939">
            <v>2250</v>
          </cell>
        </row>
        <row r="1940">
          <cell r="U1940">
            <v>550</v>
          </cell>
        </row>
        <row r="1941">
          <cell r="U1941">
            <v>1558.2</v>
          </cell>
        </row>
        <row r="1942">
          <cell r="U1942">
            <v>259.7</v>
          </cell>
        </row>
        <row r="1943">
          <cell r="U1943">
            <v>2250</v>
          </cell>
        </row>
        <row r="1944">
          <cell r="U1944">
            <v>35100</v>
          </cell>
        </row>
        <row r="1945">
          <cell r="U1945">
            <v>42900</v>
          </cell>
        </row>
        <row r="1946">
          <cell r="U1946">
            <v>37000</v>
          </cell>
        </row>
        <row r="1947">
          <cell r="U1947">
            <v>24000</v>
          </cell>
        </row>
        <row r="1948">
          <cell r="U1948">
            <v>5100</v>
          </cell>
        </row>
        <row r="1949">
          <cell r="U1949">
            <v>14000</v>
          </cell>
        </row>
        <row r="1950">
          <cell r="U1950">
            <v>7000</v>
          </cell>
        </row>
        <row r="1951">
          <cell r="U1951">
            <v>8000</v>
          </cell>
        </row>
        <row r="1952">
          <cell r="U1952">
            <v>8000</v>
          </cell>
        </row>
        <row r="1953">
          <cell r="U1953">
            <v>11907</v>
          </cell>
        </row>
        <row r="1954">
          <cell r="U1954">
            <v>8000</v>
          </cell>
        </row>
        <row r="1955">
          <cell r="U1955">
            <v>15876</v>
          </cell>
        </row>
        <row r="1956">
          <cell r="U1956">
            <v>14250</v>
          </cell>
        </row>
        <row r="1957">
          <cell r="U1957">
            <v>12800</v>
          </cell>
        </row>
        <row r="1958">
          <cell r="U1958">
            <v>6400</v>
          </cell>
        </row>
        <row r="1959">
          <cell r="U1959">
            <v>13500</v>
          </cell>
        </row>
        <row r="1960">
          <cell r="U1960">
            <v>10400</v>
          </cell>
        </row>
        <row r="1961">
          <cell r="U1961">
            <v>10400</v>
          </cell>
        </row>
        <row r="1962">
          <cell r="U1962">
            <v>5200</v>
          </cell>
        </row>
        <row r="1963">
          <cell r="U1963">
            <v>19800</v>
          </cell>
        </row>
        <row r="1964">
          <cell r="U1964">
            <v>9900</v>
          </cell>
        </row>
        <row r="1965">
          <cell r="U1965">
            <v>11880</v>
          </cell>
        </row>
        <row r="1966">
          <cell r="U1966">
            <v>12450</v>
          </cell>
        </row>
        <row r="1967">
          <cell r="U1967">
            <v>12450</v>
          </cell>
        </row>
        <row r="1968">
          <cell r="U1968">
            <v>12450</v>
          </cell>
        </row>
        <row r="1969">
          <cell r="U1969">
            <v>1950</v>
          </cell>
        </row>
        <row r="1970">
          <cell r="U1970">
            <v>10400</v>
          </cell>
        </row>
        <row r="1971">
          <cell r="U1971">
            <v>9000</v>
          </cell>
        </row>
        <row r="1972">
          <cell r="U1972">
            <v>10300</v>
          </cell>
        </row>
        <row r="1973">
          <cell r="U1973">
            <v>10300</v>
          </cell>
        </row>
        <row r="1974">
          <cell r="U1974">
            <v>15435</v>
          </cell>
        </row>
        <row r="1975">
          <cell r="U1975">
            <v>10300</v>
          </cell>
        </row>
        <row r="1976">
          <cell r="U1976">
            <v>20580</v>
          </cell>
        </row>
        <row r="1977">
          <cell r="U1977">
            <v>4400</v>
          </cell>
        </row>
        <row r="1978">
          <cell r="U1978">
            <v>15750</v>
          </cell>
        </row>
        <row r="1979">
          <cell r="U1979">
            <v>6200</v>
          </cell>
        </row>
        <row r="1980">
          <cell r="U1980">
            <v>25841.200000000001</v>
          </cell>
        </row>
        <row r="1981">
          <cell r="U1981">
            <v>2750</v>
          </cell>
        </row>
        <row r="1982">
          <cell r="U1982">
            <v>4812.5</v>
          </cell>
        </row>
        <row r="1983">
          <cell r="U1983">
            <v>5500</v>
          </cell>
        </row>
        <row r="1984">
          <cell r="U1984">
            <v>3575</v>
          </cell>
        </row>
        <row r="1985">
          <cell r="U1985">
            <v>4812.5</v>
          </cell>
        </row>
        <row r="1986">
          <cell r="U1986">
            <v>1300</v>
          </cell>
        </row>
        <row r="1987">
          <cell r="U1987">
            <v>1300</v>
          </cell>
        </row>
        <row r="1988">
          <cell r="U1988">
            <v>1300</v>
          </cell>
        </row>
        <row r="1989">
          <cell r="U1989">
            <v>1300</v>
          </cell>
        </row>
        <row r="1990">
          <cell r="U1990">
            <v>1300</v>
          </cell>
        </row>
        <row r="1991">
          <cell r="U1991">
            <v>1300</v>
          </cell>
        </row>
        <row r="1992">
          <cell r="U1992">
            <v>1300</v>
          </cell>
        </row>
        <row r="1993">
          <cell r="U1993">
            <v>1300</v>
          </cell>
        </row>
        <row r="1994">
          <cell r="U1994">
            <v>1300</v>
          </cell>
        </row>
        <row r="1995">
          <cell r="U1995">
            <v>1300</v>
          </cell>
        </row>
        <row r="1996">
          <cell r="U1996">
            <v>61197.3</v>
          </cell>
        </row>
        <row r="1997">
          <cell r="U1997">
            <v>220447.5</v>
          </cell>
        </row>
        <row r="1998">
          <cell r="U1998">
            <v>26000</v>
          </cell>
        </row>
        <row r="1999">
          <cell r="U1999">
            <v>13000</v>
          </cell>
        </row>
        <row r="2000">
          <cell r="U2000">
            <v>26800</v>
          </cell>
        </row>
        <row r="2001">
          <cell r="U2001">
            <v>26800</v>
          </cell>
        </row>
        <row r="2002">
          <cell r="U2002">
            <v>279110</v>
          </cell>
        </row>
        <row r="2003">
          <cell r="U2003">
            <v>3180</v>
          </cell>
        </row>
        <row r="2004">
          <cell r="U2004">
            <v>530</v>
          </cell>
        </row>
        <row r="2005">
          <cell r="U2005">
            <v>8250</v>
          </cell>
        </row>
        <row r="2006">
          <cell r="U2006">
            <v>3910.2</v>
          </cell>
        </row>
        <row r="2007">
          <cell r="U2007">
            <v>5586</v>
          </cell>
        </row>
        <row r="2008">
          <cell r="U2008">
            <v>15000</v>
          </cell>
        </row>
        <row r="2009">
          <cell r="U2009">
            <v>6000</v>
          </cell>
        </row>
        <row r="2010">
          <cell r="U2010">
            <v>4075</v>
          </cell>
        </row>
        <row r="2011">
          <cell r="U2011">
            <v>4075</v>
          </cell>
        </row>
        <row r="2012">
          <cell r="U2012">
            <v>68727.75</v>
          </cell>
        </row>
        <row r="2013">
          <cell r="U2013">
            <v>59000</v>
          </cell>
        </row>
        <row r="2014">
          <cell r="U2014">
            <v>59000</v>
          </cell>
        </row>
        <row r="2015">
          <cell r="U2015">
            <v>58500</v>
          </cell>
        </row>
        <row r="2016">
          <cell r="U2016">
            <v>117000</v>
          </cell>
        </row>
        <row r="2017">
          <cell r="U2017">
            <v>8700</v>
          </cell>
        </row>
        <row r="2018">
          <cell r="U2018">
            <v>4125</v>
          </cell>
        </row>
        <row r="2019">
          <cell r="U2019">
            <v>60156.24</v>
          </cell>
        </row>
        <row r="2020">
          <cell r="U2020">
            <v>18000</v>
          </cell>
        </row>
        <row r="2021">
          <cell r="U2021">
            <v>3750</v>
          </cell>
        </row>
        <row r="2022">
          <cell r="U2022">
            <v>61404</v>
          </cell>
        </row>
        <row r="2023">
          <cell r="U2023">
            <v>86512.4</v>
          </cell>
        </row>
        <row r="2024">
          <cell r="U2024">
            <v>36030.080000000002</v>
          </cell>
        </row>
        <row r="2025">
          <cell r="U2025">
            <v>40</v>
          </cell>
        </row>
        <row r="2026">
          <cell r="U2026">
            <v>150</v>
          </cell>
        </row>
        <row r="2027">
          <cell r="U2027">
            <v>285</v>
          </cell>
        </row>
        <row r="2028">
          <cell r="U2028">
            <v>190</v>
          </cell>
        </row>
        <row r="2029">
          <cell r="U2029">
            <v>200</v>
          </cell>
        </row>
        <row r="2030">
          <cell r="U2030">
            <v>308189.34000000003</v>
          </cell>
        </row>
        <row r="2031">
          <cell r="U2031">
            <v>223763.89</v>
          </cell>
        </row>
        <row r="2032">
          <cell r="U2032">
            <v>77800</v>
          </cell>
        </row>
        <row r="2033">
          <cell r="U2033">
            <v>101049.18</v>
          </cell>
        </row>
        <row r="2034">
          <cell r="U2034">
            <v>570</v>
          </cell>
        </row>
        <row r="2035">
          <cell r="U2035">
            <v>392</v>
          </cell>
        </row>
        <row r="2036">
          <cell r="U2036">
            <v>1019.2</v>
          </cell>
        </row>
        <row r="2037">
          <cell r="U2037">
            <v>1685.6</v>
          </cell>
        </row>
        <row r="2038">
          <cell r="U2038">
            <v>1685.6</v>
          </cell>
        </row>
        <row r="2039">
          <cell r="U2039">
            <v>1568</v>
          </cell>
        </row>
        <row r="2040">
          <cell r="U2040">
            <v>1911</v>
          </cell>
        </row>
        <row r="2041">
          <cell r="U2041">
            <v>833</v>
          </cell>
        </row>
        <row r="2042">
          <cell r="U2042">
            <v>245</v>
          </cell>
        </row>
        <row r="2043">
          <cell r="U2043">
            <v>343</v>
          </cell>
        </row>
        <row r="2044">
          <cell r="U2044">
            <v>132.30000000000001</v>
          </cell>
        </row>
        <row r="2045">
          <cell r="U2045">
            <v>7938</v>
          </cell>
        </row>
        <row r="2046">
          <cell r="U2046">
            <v>49744.800000000003</v>
          </cell>
        </row>
        <row r="2047">
          <cell r="U2047">
            <v>43610</v>
          </cell>
        </row>
        <row r="2048">
          <cell r="U2048">
            <v>2500.5</v>
          </cell>
        </row>
        <row r="2049">
          <cell r="U2049">
            <v>2200</v>
          </cell>
        </row>
        <row r="2050">
          <cell r="U2050">
            <v>2200</v>
          </cell>
        </row>
        <row r="2051">
          <cell r="U2051">
            <v>4167.5</v>
          </cell>
        </row>
        <row r="2052">
          <cell r="U2052">
            <v>1667</v>
          </cell>
        </row>
        <row r="2053">
          <cell r="U2053">
            <v>6107.5</v>
          </cell>
        </row>
        <row r="2054">
          <cell r="U2054">
            <v>1710</v>
          </cell>
        </row>
        <row r="2055">
          <cell r="U2055">
            <v>3450</v>
          </cell>
        </row>
        <row r="2056">
          <cell r="U2056">
            <v>6240</v>
          </cell>
        </row>
        <row r="2057">
          <cell r="U2057">
            <v>1380</v>
          </cell>
        </row>
        <row r="2058">
          <cell r="U2058">
            <v>13660</v>
          </cell>
        </row>
        <row r="2059">
          <cell r="U2059">
            <v>9200</v>
          </cell>
        </row>
        <row r="2060">
          <cell r="U2060">
            <v>3180</v>
          </cell>
        </row>
        <row r="2061">
          <cell r="U2061">
            <v>4650</v>
          </cell>
        </row>
        <row r="2062">
          <cell r="U2062">
            <v>400</v>
          </cell>
        </row>
        <row r="2063">
          <cell r="U2063">
            <v>135</v>
          </cell>
        </row>
        <row r="2064">
          <cell r="U2064">
            <v>14760</v>
          </cell>
        </row>
        <row r="2065">
          <cell r="U2065">
            <v>15300</v>
          </cell>
        </row>
        <row r="2066">
          <cell r="U2066">
            <v>14850</v>
          </cell>
        </row>
        <row r="2067">
          <cell r="U2067">
            <v>120960</v>
          </cell>
        </row>
        <row r="2068">
          <cell r="U2068">
            <v>38222.800000000003</v>
          </cell>
        </row>
        <row r="2069">
          <cell r="U2069">
            <v>69411.240000000005</v>
          </cell>
        </row>
        <row r="2070">
          <cell r="U2070">
            <v>90651.6</v>
          </cell>
        </row>
        <row r="2071">
          <cell r="U2071">
            <v>124076.25</v>
          </cell>
        </row>
        <row r="2072">
          <cell r="U2072">
            <v>4140</v>
          </cell>
        </row>
        <row r="2073">
          <cell r="U2073">
            <v>4140</v>
          </cell>
        </row>
        <row r="2074">
          <cell r="U2074">
            <v>51005</v>
          </cell>
        </row>
        <row r="2075">
          <cell r="U2075">
            <v>76000</v>
          </cell>
        </row>
        <row r="2076">
          <cell r="U2076">
            <v>77343.8</v>
          </cell>
        </row>
        <row r="2077">
          <cell r="U2077">
            <v>3516</v>
          </cell>
        </row>
        <row r="2078">
          <cell r="U2078">
            <v>7290</v>
          </cell>
        </row>
        <row r="2079">
          <cell r="U2079">
            <v>1614</v>
          </cell>
        </row>
        <row r="2080">
          <cell r="U2080">
            <v>6900</v>
          </cell>
        </row>
        <row r="2081">
          <cell r="U2081">
            <v>107250</v>
          </cell>
        </row>
        <row r="2082">
          <cell r="U2082">
            <v>93575</v>
          </cell>
        </row>
        <row r="2083">
          <cell r="U2083">
            <v>93575</v>
          </cell>
        </row>
        <row r="2084">
          <cell r="U2084">
            <v>20513.009999999998</v>
          </cell>
        </row>
        <row r="2085">
          <cell r="U2085">
            <v>19546.740000000002</v>
          </cell>
        </row>
        <row r="2086">
          <cell r="U2086">
            <v>19546.740000000002</v>
          </cell>
        </row>
        <row r="2087">
          <cell r="U2087">
            <v>19546.740000000002</v>
          </cell>
        </row>
        <row r="2088">
          <cell r="U2088">
            <v>88786</v>
          </cell>
        </row>
        <row r="2089">
          <cell r="U2089">
            <v>48070.52</v>
          </cell>
        </row>
        <row r="2090">
          <cell r="U2090">
            <v>250</v>
          </cell>
        </row>
        <row r="2091">
          <cell r="U2091">
            <v>7636.5</v>
          </cell>
        </row>
        <row r="2092">
          <cell r="U2092">
            <v>7636.5</v>
          </cell>
        </row>
        <row r="2093">
          <cell r="U2093">
            <v>185315.6</v>
          </cell>
        </row>
        <row r="2094">
          <cell r="U2094">
            <v>58000</v>
          </cell>
        </row>
        <row r="2095">
          <cell r="U2095">
            <v>120791.36</v>
          </cell>
        </row>
        <row r="2096">
          <cell r="U2096">
            <v>149500</v>
          </cell>
        </row>
        <row r="2097">
          <cell r="U2097">
            <v>68427.12</v>
          </cell>
        </row>
        <row r="2098">
          <cell r="U2098">
            <v>68427.12</v>
          </cell>
        </row>
        <row r="2099">
          <cell r="U2099">
            <v>39494.400000000001</v>
          </cell>
        </row>
        <row r="2100">
          <cell r="U2100">
            <v>100721.27</v>
          </cell>
        </row>
        <row r="2101">
          <cell r="U2101">
            <v>45756.78</v>
          </cell>
        </row>
        <row r="2102">
          <cell r="U2102">
            <v>13321</v>
          </cell>
        </row>
        <row r="2103">
          <cell r="U2103">
            <v>44348.05</v>
          </cell>
        </row>
        <row r="2104">
          <cell r="U2104">
            <v>7769</v>
          </cell>
        </row>
        <row r="2105">
          <cell r="U2105">
            <v>33074.21</v>
          </cell>
        </row>
        <row r="2106">
          <cell r="U2106">
            <v>830</v>
          </cell>
        </row>
        <row r="2107">
          <cell r="U2107">
            <v>8580</v>
          </cell>
        </row>
        <row r="2108">
          <cell r="U2108">
            <v>41400</v>
          </cell>
        </row>
        <row r="2109">
          <cell r="U2109">
            <v>4725</v>
          </cell>
        </row>
        <row r="2110">
          <cell r="U2110">
            <v>6300</v>
          </cell>
        </row>
        <row r="2111">
          <cell r="U2111">
            <v>1550</v>
          </cell>
        </row>
        <row r="2112">
          <cell r="U2112">
            <v>6100</v>
          </cell>
        </row>
        <row r="2113">
          <cell r="U2113">
            <v>3100</v>
          </cell>
        </row>
        <row r="2114">
          <cell r="U2114">
            <v>620</v>
          </cell>
        </row>
        <row r="2115">
          <cell r="U2115">
            <v>2480</v>
          </cell>
        </row>
        <row r="2116">
          <cell r="U2116">
            <v>2480</v>
          </cell>
        </row>
        <row r="2117">
          <cell r="U2117">
            <v>11468</v>
          </cell>
        </row>
        <row r="2118">
          <cell r="U2118">
            <v>13761.6</v>
          </cell>
        </row>
        <row r="2119">
          <cell r="U2119">
            <v>11590</v>
          </cell>
        </row>
        <row r="2120">
          <cell r="U2120">
            <v>14300</v>
          </cell>
        </row>
        <row r="2121">
          <cell r="U2121">
            <v>13761.6</v>
          </cell>
        </row>
        <row r="2122">
          <cell r="U2122">
            <v>6880.8</v>
          </cell>
        </row>
        <row r="2123">
          <cell r="U2123">
            <v>6880.8</v>
          </cell>
        </row>
        <row r="2124">
          <cell r="U2124">
            <v>13680</v>
          </cell>
        </row>
        <row r="2125">
          <cell r="U2125">
            <v>11970</v>
          </cell>
        </row>
        <row r="2126">
          <cell r="U2126">
            <v>5700</v>
          </cell>
        </row>
        <row r="2127">
          <cell r="U2127">
            <v>6840</v>
          </cell>
        </row>
        <row r="2128">
          <cell r="U2128">
            <v>8272</v>
          </cell>
        </row>
        <row r="2129">
          <cell r="U2129">
            <v>5170</v>
          </cell>
        </row>
        <row r="2130">
          <cell r="U2130">
            <v>5244</v>
          </cell>
        </row>
        <row r="2131">
          <cell r="U2131">
            <v>6555</v>
          </cell>
        </row>
        <row r="2132">
          <cell r="U2132">
            <v>1311</v>
          </cell>
        </row>
        <row r="2133">
          <cell r="U2133">
            <v>6204</v>
          </cell>
        </row>
        <row r="2134">
          <cell r="U2134">
            <v>4136</v>
          </cell>
        </row>
        <row r="2135">
          <cell r="U2135">
            <v>413.6</v>
          </cell>
        </row>
        <row r="2136">
          <cell r="U2136">
            <v>9926.4</v>
          </cell>
        </row>
        <row r="2137">
          <cell r="U2137">
            <v>13442</v>
          </cell>
        </row>
        <row r="2138">
          <cell r="U2138">
            <v>9400</v>
          </cell>
        </row>
        <row r="2139">
          <cell r="U2139">
            <v>22560</v>
          </cell>
        </row>
        <row r="2140">
          <cell r="U2140">
            <v>9500</v>
          </cell>
        </row>
        <row r="2141">
          <cell r="U2141">
            <v>19200</v>
          </cell>
        </row>
        <row r="2142">
          <cell r="U2142">
            <v>18424</v>
          </cell>
        </row>
        <row r="2143">
          <cell r="U2143">
            <v>9212</v>
          </cell>
        </row>
        <row r="2144">
          <cell r="U2144">
            <v>27636</v>
          </cell>
        </row>
        <row r="2145">
          <cell r="U2145">
            <v>13818</v>
          </cell>
        </row>
        <row r="2146">
          <cell r="U2146">
            <v>27600</v>
          </cell>
        </row>
        <row r="2147">
          <cell r="U2147">
            <v>13818</v>
          </cell>
        </row>
        <row r="2148">
          <cell r="U2148">
            <v>27600</v>
          </cell>
        </row>
        <row r="2149">
          <cell r="U2149">
            <v>4600</v>
          </cell>
        </row>
        <row r="2150">
          <cell r="U2150">
            <v>16720</v>
          </cell>
        </row>
        <row r="2151">
          <cell r="U2151">
            <v>17600</v>
          </cell>
        </row>
        <row r="2152">
          <cell r="U2152">
            <v>18612</v>
          </cell>
        </row>
        <row r="2153">
          <cell r="U2153">
            <v>2068</v>
          </cell>
        </row>
        <row r="2154">
          <cell r="U2154">
            <v>8272</v>
          </cell>
        </row>
        <row r="2155">
          <cell r="U2155">
            <v>12408</v>
          </cell>
        </row>
        <row r="2156">
          <cell r="U2156">
            <v>18612</v>
          </cell>
        </row>
        <row r="2157">
          <cell r="U2157">
            <v>17578</v>
          </cell>
        </row>
        <row r="2158">
          <cell r="U2158">
            <v>6079.24</v>
          </cell>
        </row>
        <row r="2159">
          <cell r="U2159">
            <v>16100</v>
          </cell>
        </row>
        <row r="2160">
          <cell r="U2160">
            <v>2835</v>
          </cell>
        </row>
        <row r="2161">
          <cell r="U2161">
            <v>9306</v>
          </cell>
        </row>
        <row r="2162">
          <cell r="U2162">
            <v>1861.2</v>
          </cell>
        </row>
        <row r="2163">
          <cell r="U2163">
            <v>7444.8</v>
          </cell>
        </row>
        <row r="2164">
          <cell r="U2164">
            <v>6900</v>
          </cell>
        </row>
        <row r="2165">
          <cell r="U2165">
            <v>7500</v>
          </cell>
        </row>
        <row r="2166">
          <cell r="U2166">
            <v>9600</v>
          </cell>
        </row>
        <row r="2167">
          <cell r="U2167">
            <v>6000</v>
          </cell>
        </row>
        <row r="2168">
          <cell r="U2168">
            <v>16500</v>
          </cell>
        </row>
        <row r="2169">
          <cell r="U2169">
            <v>10500</v>
          </cell>
        </row>
        <row r="2170">
          <cell r="U2170">
            <v>840</v>
          </cell>
        </row>
        <row r="2171">
          <cell r="U2171">
            <v>1200</v>
          </cell>
        </row>
        <row r="2172">
          <cell r="U2172">
            <v>3218.4</v>
          </cell>
        </row>
        <row r="2173">
          <cell r="U2173">
            <v>1491</v>
          </cell>
        </row>
        <row r="2174">
          <cell r="U2174">
            <v>4450</v>
          </cell>
        </row>
        <row r="2175">
          <cell r="U2175">
            <v>1750</v>
          </cell>
        </row>
        <row r="2176">
          <cell r="U2176">
            <v>550</v>
          </cell>
        </row>
        <row r="2177">
          <cell r="U2177">
            <v>3840</v>
          </cell>
        </row>
        <row r="2178">
          <cell r="U2178">
            <v>26000</v>
          </cell>
        </row>
        <row r="2179">
          <cell r="U2179">
            <v>26000</v>
          </cell>
        </row>
        <row r="2180">
          <cell r="U2180">
            <v>26000</v>
          </cell>
        </row>
        <row r="2181">
          <cell r="U2181">
            <v>26000</v>
          </cell>
        </row>
        <row r="2182">
          <cell r="U2182">
            <v>26000</v>
          </cell>
        </row>
        <row r="2183">
          <cell r="U2183">
            <v>26000</v>
          </cell>
        </row>
        <row r="2184">
          <cell r="U2184">
            <v>26000</v>
          </cell>
        </row>
        <row r="2185">
          <cell r="U2185">
            <v>26000</v>
          </cell>
        </row>
        <row r="2186">
          <cell r="U2186">
            <v>24024</v>
          </cell>
        </row>
        <row r="2187">
          <cell r="U2187">
            <v>124045</v>
          </cell>
        </row>
        <row r="2188">
          <cell r="U2188">
            <v>19400</v>
          </cell>
        </row>
        <row r="2189">
          <cell r="U2189">
            <v>19400</v>
          </cell>
        </row>
        <row r="2190">
          <cell r="U2190">
            <v>19400</v>
          </cell>
        </row>
        <row r="2191">
          <cell r="U2191">
            <v>19400</v>
          </cell>
        </row>
        <row r="2192">
          <cell r="U2192">
            <v>19400</v>
          </cell>
        </row>
        <row r="2193">
          <cell r="U2193">
            <v>19400</v>
          </cell>
        </row>
        <row r="2194">
          <cell r="U2194">
            <v>35800</v>
          </cell>
        </row>
        <row r="2195">
          <cell r="U2195">
            <v>35800</v>
          </cell>
        </row>
        <row r="2196">
          <cell r="U2196">
            <v>35800</v>
          </cell>
        </row>
        <row r="2197">
          <cell r="U2197">
            <v>18400</v>
          </cell>
        </row>
        <row r="2198">
          <cell r="U2198">
            <v>18400</v>
          </cell>
        </row>
        <row r="2199">
          <cell r="U2199">
            <v>18400</v>
          </cell>
        </row>
        <row r="2200">
          <cell r="U2200">
            <v>18400</v>
          </cell>
        </row>
        <row r="2201">
          <cell r="U2201">
            <v>18400</v>
          </cell>
        </row>
        <row r="2202">
          <cell r="U2202">
            <v>18400</v>
          </cell>
        </row>
        <row r="2203">
          <cell r="U2203">
            <v>18400</v>
          </cell>
        </row>
        <row r="2204">
          <cell r="U2204">
            <v>18400</v>
          </cell>
        </row>
        <row r="2205">
          <cell r="U2205">
            <v>18400</v>
          </cell>
        </row>
        <row r="2206">
          <cell r="U2206">
            <v>18400</v>
          </cell>
        </row>
        <row r="2207">
          <cell r="U2207">
            <v>18400</v>
          </cell>
        </row>
        <row r="2208">
          <cell r="U2208">
            <v>2700</v>
          </cell>
        </row>
        <row r="2209">
          <cell r="U2209">
            <v>4500</v>
          </cell>
        </row>
        <row r="2210">
          <cell r="U2210">
            <v>1120</v>
          </cell>
        </row>
        <row r="2211">
          <cell r="U2211">
            <v>1771.2</v>
          </cell>
        </row>
        <row r="2212">
          <cell r="U2212">
            <v>1180.8</v>
          </cell>
        </row>
        <row r="2213">
          <cell r="U2213">
            <v>1180.8</v>
          </cell>
        </row>
        <row r="2214">
          <cell r="U2214">
            <v>2400</v>
          </cell>
        </row>
        <row r="2215">
          <cell r="U2215">
            <v>24545.45</v>
          </cell>
        </row>
        <row r="2216">
          <cell r="U2216">
            <v>24411.43</v>
          </cell>
        </row>
        <row r="2217">
          <cell r="U2217">
            <v>24847.06</v>
          </cell>
        </row>
        <row r="2218">
          <cell r="U2218">
            <v>5700</v>
          </cell>
        </row>
        <row r="2219">
          <cell r="U2219">
            <v>342</v>
          </cell>
        </row>
        <row r="2220">
          <cell r="U2220">
            <v>3200</v>
          </cell>
        </row>
        <row r="2221">
          <cell r="U2221">
            <v>4650</v>
          </cell>
        </row>
        <row r="2222">
          <cell r="U2222">
            <v>4650</v>
          </cell>
        </row>
        <row r="2223">
          <cell r="U2223">
            <v>12600</v>
          </cell>
        </row>
        <row r="2224">
          <cell r="U2224">
            <v>12600</v>
          </cell>
        </row>
        <row r="2225">
          <cell r="U2225">
            <v>20454.55</v>
          </cell>
        </row>
        <row r="2226">
          <cell r="U2226">
            <v>20342.86</v>
          </cell>
        </row>
        <row r="2227">
          <cell r="U2227">
            <v>10352.94</v>
          </cell>
        </row>
        <row r="2228">
          <cell r="U2228">
            <v>21200</v>
          </cell>
        </row>
        <row r="2229">
          <cell r="U2229">
            <v>6011.2</v>
          </cell>
        </row>
        <row r="2230">
          <cell r="U2230">
            <v>28875</v>
          </cell>
        </row>
        <row r="2231">
          <cell r="U2231">
            <v>28875</v>
          </cell>
        </row>
        <row r="2232">
          <cell r="U2232">
            <v>28875</v>
          </cell>
        </row>
        <row r="2233">
          <cell r="U2233">
            <v>28875</v>
          </cell>
        </row>
        <row r="2234">
          <cell r="U2234">
            <v>6500</v>
          </cell>
        </row>
        <row r="2235">
          <cell r="U2235">
            <v>9750</v>
          </cell>
        </row>
        <row r="2236">
          <cell r="U2236">
            <v>7000</v>
          </cell>
        </row>
        <row r="2237">
          <cell r="U2237">
            <v>7000</v>
          </cell>
        </row>
        <row r="2238">
          <cell r="U2238">
            <v>9000</v>
          </cell>
        </row>
        <row r="2239">
          <cell r="U2239">
            <v>9000</v>
          </cell>
        </row>
        <row r="2240">
          <cell r="U2240">
            <v>5750</v>
          </cell>
        </row>
        <row r="2241">
          <cell r="U2241">
            <v>8900</v>
          </cell>
        </row>
        <row r="2242">
          <cell r="U2242">
            <v>2800</v>
          </cell>
        </row>
        <row r="2243">
          <cell r="U2243">
            <v>14000</v>
          </cell>
        </row>
        <row r="2244">
          <cell r="U2244">
            <v>101802</v>
          </cell>
        </row>
        <row r="2245">
          <cell r="U2245">
            <v>101802</v>
          </cell>
        </row>
        <row r="2246">
          <cell r="U2246">
            <v>19500</v>
          </cell>
        </row>
        <row r="2247">
          <cell r="U2247">
            <v>32500</v>
          </cell>
        </row>
        <row r="2248">
          <cell r="U2248">
            <v>26000</v>
          </cell>
        </row>
        <row r="2249">
          <cell r="U2249">
            <v>19500</v>
          </cell>
        </row>
        <row r="2250">
          <cell r="U2250">
            <v>19500</v>
          </cell>
        </row>
        <row r="2251">
          <cell r="U2251">
            <v>19500</v>
          </cell>
        </row>
        <row r="2252">
          <cell r="U2252">
            <v>2950</v>
          </cell>
        </row>
        <row r="2253">
          <cell r="U2253">
            <v>23600</v>
          </cell>
        </row>
        <row r="2254">
          <cell r="U2254">
            <v>17700</v>
          </cell>
        </row>
        <row r="2255">
          <cell r="U2255">
            <v>23600</v>
          </cell>
        </row>
        <row r="2256">
          <cell r="U2256">
            <v>17700</v>
          </cell>
        </row>
        <row r="2257">
          <cell r="U2257">
            <v>17700</v>
          </cell>
        </row>
        <row r="2258">
          <cell r="U2258">
            <v>19200</v>
          </cell>
        </row>
        <row r="2259">
          <cell r="U2259">
            <v>19500</v>
          </cell>
        </row>
        <row r="2260">
          <cell r="U2260">
            <v>6500</v>
          </cell>
        </row>
        <row r="2261">
          <cell r="U2261">
            <v>13000</v>
          </cell>
        </row>
        <row r="2262">
          <cell r="U2262">
            <v>19500</v>
          </cell>
        </row>
        <row r="2263">
          <cell r="U2263">
            <v>19500</v>
          </cell>
        </row>
        <row r="2264">
          <cell r="U2264">
            <v>32500</v>
          </cell>
        </row>
        <row r="2265">
          <cell r="U2265">
            <v>19500</v>
          </cell>
        </row>
        <row r="2266">
          <cell r="U2266">
            <v>29500</v>
          </cell>
        </row>
        <row r="2267">
          <cell r="U2267">
            <v>17700</v>
          </cell>
        </row>
        <row r="2268">
          <cell r="U2268">
            <v>29500</v>
          </cell>
        </row>
        <row r="2269">
          <cell r="U2269">
            <v>17700</v>
          </cell>
        </row>
        <row r="2270">
          <cell r="U2270">
            <v>17700</v>
          </cell>
        </row>
        <row r="2271">
          <cell r="U2271">
            <v>17700</v>
          </cell>
        </row>
        <row r="2272">
          <cell r="U2272">
            <v>29500</v>
          </cell>
        </row>
        <row r="2273">
          <cell r="U2273">
            <v>11800</v>
          </cell>
        </row>
        <row r="2274">
          <cell r="U2274">
            <v>5900</v>
          </cell>
        </row>
        <row r="2275">
          <cell r="U2275">
            <v>29500</v>
          </cell>
        </row>
        <row r="2276">
          <cell r="U2276">
            <v>6400</v>
          </cell>
        </row>
        <row r="2277">
          <cell r="U2277">
            <v>12800</v>
          </cell>
        </row>
        <row r="2278">
          <cell r="U2278">
            <v>32000</v>
          </cell>
        </row>
        <row r="2279">
          <cell r="U2279">
            <v>4550</v>
          </cell>
        </row>
        <row r="2280">
          <cell r="U2280">
            <v>4550</v>
          </cell>
        </row>
        <row r="2281">
          <cell r="U2281">
            <v>4550</v>
          </cell>
        </row>
        <row r="2282">
          <cell r="U2282">
            <v>4550</v>
          </cell>
        </row>
        <row r="2283">
          <cell r="U2283">
            <v>4550</v>
          </cell>
        </row>
        <row r="2284">
          <cell r="U2284">
            <v>4550</v>
          </cell>
        </row>
        <row r="2285">
          <cell r="U2285">
            <v>4550</v>
          </cell>
        </row>
        <row r="2286">
          <cell r="U2286">
            <v>9800</v>
          </cell>
        </row>
        <row r="2287">
          <cell r="U2287">
            <v>9800</v>
          </cell>
        </row>
        <row r="2288">
          <cell r="U2288">
            <v>7500</v>
          </cell>
        </row>
        <row r="2289">
          <cell r="U2289">
            <v>22127</v>
          </cell>
        </row>
        <row r="2290">
          <cell r="U2290">
            <v>22127</v>
          </cell>
        </row>
        <row r="2291">
          <cell r="U2291">
            <v>13125</v>
          </cell>
        </row>
        <row r="2292">
          <cell r="U2292">
            <v>22127</v>
          </cell>
        </row>
        <row r="2293">
          <cell r="U2293">
            <v>13125</v>
          </cell>
        </row>
        <row r="2294">
          <cell r="U2294">
            <v>24360</v>
          </cell>
        </row>
        <row r="2295">
          <cell r="U2295">
            <v>24360</v>
          </cell>
        </row>
        <row r="2296">
          <cell r="U2296">
            <v>18760</v>
          </cell>
        </row>
        <row r="2297">
          <cell r="U2297">
            <v>24360</v>
          </cell>
        </row>
        <row r="2298">
          <cell r="U2298">
            <v>14070</v>
          </cell>
        </row>
        <row r="2299">
          <cell r="U2299">
            <v>24360</v>
          </cell>
        </row>
        <row r="2300">
          <cell r="U2300">
            <v>24360</v>
          </cell>
        </row>
        <row r="2301">
          <cell r="U2301">
            <v>30450</v>
          </cell>
        </row>
        <row r="2302">
          <cell r="U2302">
            <v>24360</v>
          </cell>
        </row>
        <row r="2303">
          <cell r="U2303">
            <v>9380</v>
          </cell>
        </row>
        <row r="2304">
          <cell r="U2304">
            <v>24360</v>
          </cell>
        </row>
        <row r="2305">
          <cell r="U2305">
            <v>24360</v>
          </cell>
        </row>
        <row r="2306">
          <cell r="U2306">
            <v>18270</v>
          </cell>
        </row>
        <row r="2307">
          <cell r="U2307">
            <v>14070</v>
          </cell>
        </row>
        <row r="2308">
          <cell r="U2308">
            <v>24360</v>
          </cell>
        </row>
        <row r="2309">
          <cell r="U2309">
            <v>24360</v>
          </cell>
        </row>
        <row r="2310">
          <cell r="U2310">
            <v>18270</v>
          </cell>
        </row>
        <row r="2311">
          <cell r="U2311">
            <v>24360</v>
          </cell>
        </row>
        <row r="2312">
          <cell r="U2312">
            <v>23142</v>
          </cell>
        </row>
        <row r="2313">
          <cell r="U2313">
            <v>24360</v>
          </cell>
        </row>
        <row r="2314">
          <cell r="U2314">
            <v>30450</v>
          </cell>
        </row>
        <row r="2315">
          <cell r="U2315">
            <v>30450</v>
          </cell>
        </row>
        <row r="2316">
          <cell r="U2316">
            <v>24360</v>
          </cell>
        </row>
        <row r="2317">
          <cell r="U2317">
            <v>24360</v>
          </cell>
        </row>
        <row r="2318">
          <cell r="U2318">
            <v>30450</v>
          </cell>
        </row>
        <row r="2319">
          <cell r="U2319">
            <v>14616</v>
          </cell>
        </row>
        <row r="2320">
          <cell r="U2320">
            <v>9744</v>
          </cell>
        </row>
        <row r="2321">
          <cell r="U2321">
            <v>30450</v>
          </cell>
        </row>
        <row r="2322">
          <cell r="U2322">
            <v>80000</v>
          </cell>
        </row>
        <row r="2323">
          <cell r="U2323">
            <v>120000</v>
          </cell>
        </row>
        <row r="2324">
          <cell r="U2324">
            <v>120000</v>
          </cell>
        </row>
        <row r="2325">
          <cell r="U2325">
            <v>120000</v>
          </cell>
        </row>
        <row r="2326">
          <cell r="U2326">
            <v>1750</v>
          </cell>
        </row>
        <row r="2327">
          <cell r="U2327">
            <v>1155</v>
          </cell>
        </row>
        <row r="2328">
          <cell r="U2328">
            <v>1750</v>
          </cell>
        </row>
        <row r="2329">
          <cell r="U2329">
            <v>1190</v>
          </cell>
        </row>
        <row r="2330">
          <cell r="U2330">
            <v>1372</v>
          </cell>
        </row>
        <row r="2331">
          <cell r="U2331">
            <v>1246</v>
          </cell>
        </row>
        <row r="2332">
          <cell r="U2332">
            <v>1246</v>
          </cell>
        </row>
        <row r="2333">
          <cell r="U2333">
            <v>735</v>
          </cell>
        </row>
        <row r="2334">
          <cell r="U2334">
            <v>1246</v>
          </cell>
        </row>
        <row r="2335">
          <cell r="U2335">
            <v>1246</v>
          </cell>
        </row>
        <row r="2336">
          <cell r="U2336">
            <v>1246</v>
          </cell>
        </row>
        <row r="2337">
          <cell r="U2337">
            <v>735</v>
          </cell>
        </row>
        <row r="2338">
          <cell r="U2338">
            <v>735</v>
          </cell>
        </row>
        <row r="2339">
          <cell r="U2339">
            <v>1246</v>
          </cell>
        </row>
        <row r="2340">
          <cell r="U2340">
            <v>1246</v>
          </cell>
        </row>
        <row r="2341">
          <cell r="U2341">
            <v>1470</v>
          </cell>
        </row>
        <row r="2342">
          <cell r="U2342">
            <v>1246</v>
          </cell>
        </row>
        <row r="2343">
          <cell r="U2343">
            <v>1246</v>
          </cell>
        </row>
        <row r="2344">
          <cell r="U2344">
            <v>1246</v>
          </cell>
        </row>
        <row r="2345">
          <cell r="U2345">
            <v>1246</v>
          </cell>
        </row>
        <row r="2346">
          <cell r="U2346">
            <v>623</v>
          </cell>
        </row>
        <row r="2347">
          <cell r="U2347">
            <v>623</v>
          </cell>
        </row>
        <row r="2348">
          <cell r="U2348">
            <v>33600</v>
          </cell>
        </row>
        <row r="2349">
          <cell r="U2349">
            <v>45000</v>
          </cell>
        </row>
        <row r="2350">
          <cell r="U2350">
            <v>15000</v>
          </cell>
        </row>
        <row r="2351">
          <cell r="U2351">
            <v>15000</v>
          </cell>
        </row>
        <row r="2352">
          <cell r="U2352">
            <v>980</v>
          </cell>
        </row>
        <row r="2353">
          <cell r="U2353">
            <v>1960</v>
          </cell>
        </row>
        <row r="2354">
          <cell r="U2354">
            <v>1274</v>
          </cell>
        </row>
        <row r="2355">
          <cell r="U2355">
            <v>980</v>
          </cell>
        </row>
        <row r="2356">
          <cell r="U2356">
            <v>490</v>
          </cell>
        </row>
        <row r="2357">
          <cell r="U2357">
            <v>967.2</v>
          </cell>
        </row>
        <row r="2358">
          <cell r="U2358">
            <v>5400</v>
          </cell>
        </row>
        <row r="2359">
          <cell r="U2359">
            <v>8280</v>
          </cell>
        </row>
        <row r="2360">
          <cell r="U2360">
            <v>17360</v>
          </cell>
        </row>
        <row r="2361">
          <cell r="U2361">
            <v>7590</v>
          </cell>
        </row>
        <row r="2362">
          <cell r="U2362">
            <v>17360</v>
          </cell>
        </row>
        <row r="2363">
          <cell r="U2363">
            <v>8280</v>
          </cell>
        </row>
        <row r="2364">
          <cell r="U2364">
            <v>15500</v>
          </cell>
        </row>
        <row r="2365">
          <cell r="U2365">
            <v>4830</v>
          </cell>
        </row>
        <row r="2366">
          <cell r="U2366">
            <v>4830</v>
          </cell>
        </row>
        <row r="2367">
          <cell r="U2367">
            <v>27600</v>
          </cell>
        </row>
        <row r="2368">
          <cell r="U2368">
            <v>27600</v>
          </cell>
        </row>
        <row r="2369">
          <cell r="U2369">
            <v>13800</v>
          </cell>
        </row>
        <row r="2370">
          <cell r="U2370">
            <v>9975</v>
          </cell>
        </row>
        <row r="2371">
          <cell r="U2371">
            <v>4950</v>
          </cell>
        </row>
        <row r="2372">
          <cell r="U2372">
            <v>4950</v>
          </cell>
        </row>
        <row r="2373">
          <cell r="U2373">
            <v>9975</v>
          </cell>
        </row>
        <row r="2374">
          <cell r="U2374">
            <v>6650</v>
          </cell>
        </row>
        <row r="2375">
          <cell r="U2375">
            <v>3300</v>
          </cell>
        </row>
        <row r="2376">
          <cell r="U2376">
            <v>3300</v>
          </cell>
        </row>
        <row r="2377">
          <cell r="U2377">
            <v>3300</v>
          </cell>
        </row>
        <row r="2378">
          <cell r="U2378">
            <v>9975</v>
          </cell>
        </row>
        <row r="2379">
          <cell r="U2379">
            <v>6650</v>
          </cell>
        </row>
        <row r="2380">
          <cell r="U2380">
            <v>6650</v>
          </cell>
        </row>
        <row r="2381">
          <cell r="U2381">
            <v>4950</v>
          </cell>
        </row>
        <row r="2382">
          <cell r="U2382">
            <v>8075</v>
          </cell>
        </row>
        <row r="2383">
          <cell r="U2383">
            <v>3850</v>
          </cell>
        </row>
        <row r="2384">
          <cell r="U2384">
            <v>6650</v>
          </cell>
        </row>
        <row r="2385">
          <cell r="U2385">
            <v>3300</v>
          </cell>
        </row>
        <row r="2386">
          <cell r="U2386">
            <v>3450</v>
          </cell>
        </row>
        <row r="2387">
          <cell r="U2387">
            <v>14800</v>
          </cell>
        </row>
        <row r="2388">
          <cell r="U2388">
            <v>17250</v>
          </cell>
        </row>
        <row r="2389">
          <cell r="U2389">
            <v>20700</v>
          </cell>
        </row>
        <row r="2390">
          <cell r="U2390">
            <v>13875</v>
          </cell>
        </row>
        <row r="2391">
          <cell r="U2391">
            <v>20700</v>
          </cell>
        </row>
        <row r="2392">
          <cell r="U2392">
            <v>34500</v>
          </cell>
        </row>
        <row r="2393">
          <cell r="U2393">
            <v>34500</v>
          </cell>
        </row>
        <row r="2394">
          <cell r="U2394">
            <v>20700</v>
          </cell>
        </row>
        <row r="2395">
          <cell r="U2395">
            <v>34500</v>
          </cell>
        </row>
        <row r="2396">
          <cell r="U2396">
            <v>34500</v>
          </cell>
        </row>
        <row r="2397">
          <cell r="U2397">
            <v>34500</v>
          </cell>
        </row>
        <row r="2398">
          <cell r="U2398">
            <v>19980</v>
          </cell>
        </row>
        <row r="2399">
          <cell r="U2399">
            <v>3456</v>
          </cell>
        </row>
        <row r="2400">
          <cell r="U2400">
            <v>2304</v>
          </cell>
        </row>
        <row r="2401">
          <cell r="U2401">
            <v>866.4</v>
          </cell>
        </row>
        <row r="2402">
          <cell r="U2402">
            <v>1191.3</v>
          </cell>
        </row>
        <row r="2403">
          <cell r="U2403">
            <v>794.2</v>
          </cell>
        </row>
        <row r="2404">
          <cell r="U2404">
            <v>892</v>
          </cell>
        </row>
        <row r="2405">
          <cell r="U2405">
            <v>46632</v>
          </cell>
        </row>
        <row r="2406">
          <cell r="U2406">
            <v>34200</v>
          </cell>
        </row>
        <row r="2407">
          <cell r="U2407">
            <v>34200</v>
          </cell>
        </row>
        <row r="2408">
          <cell r="U2408">
            <v>725</v>
          </cell>
        </row>
        <row r="2409">
          <cell r="U2409">
            <v>4350</v>
          </cell>
        </row>
        <row r="2410">
          <cell r="U2410">
            <v>10000</v>
          </cell>
        </row>
        <row r="2411">
          <cell r="U2411">
            <v>3240</v>
          </cell>
        </row>
        <row r="2412">
          <cell r="U2412">
            <v>6250</v>
          </cell>
        </row>
        <row r="2413">
          <cell r="U2413">
            <v>1620</v>
          </cell>
        </row>
        <row r="2414">
          <cell r="U2414">
            <v>6250</v>
          </cell>
        </row>
        <row r="2415">
          <cell r="U2415">
            <v>6250</v>
          </cell>
        </row>
        <row r="2416">
          <cell r="U2416">
            <v>1620</v>
          </cell>
        </row>
        <row r="2417">
          <cell r="U2417">
            <v>6250</v>
          </cell>
        </row>
        <row r="2418">
          <cell r="U2418">
            <v>10000</v>
          </cell>
        </row>
        <row r="2419">
          <cell r="U2419">
            <v>1620</v>
          </cell>
        </row>
        <row r="2420">
          <cell r="U2420">
            <v>3240</v>
          </cell>
        </row>
        <row r="2421">
          <cell r="U2421">
            <v>3160</v>
          </cell>
        </row>
        <row r="2422">
          <cell r="U2422">
            <v>3240</v>
          </cell>
        </row>
        <row r="2423">
          <cell r="U2423">
            <v>3240</v>
          </cell>
        </row>
        <row r="2424">
          <cell r="U2424">
            <v>3600</v>
          </cell>
        </row>
        <row r="2425">
          <cell r="U2425">
            <v>1800</v>
          </cell>
        </row>
        <row r="2426">
          <cell r="U2426">
            <v>9200</v>
          </cell>
        </row>
        <row r="2427">
          <cell r="U2427">
            <v>2200</v>
          </cell>
        </row>
        <row r="2428">
          <cell r="U2428">
            <v>16920</v>
          </cell>
        </row>
        <row r="2429">
          <cell r="U2429">
            <v>30135</v>
          </cell>
        </row>
        <row r="2430">
          <cell r="U2430">
            <v>14400</v>
          </cell>
        </row>
        <row r="2431">
          <cell r="U2431">
            <v>19200</v>
          </cell>
        </row>
        <row r="2432">
          <cell r="U2432">
            <v>18655</v>
          </cell>
        </row>
        <row r="2433">
          <cell r="U2433">
            <v>22960</v>
          </cell>
        </row>
        <row r="2434">
          <cell r="U2434">
            <v>19200</v>
          </cell>
        </row>
        <row r="2435">
          <cell r="U2435">
            <v>30135</v>
          </cell>
        </row>
        <row r="2436">
          <cell r="U2436">
            <v>12800</v>
          </cell>
        </row>
        <row r="2437">
          <cell r="U2437">
            <v>20090</v>
          </cell>
        </row>
        <row r="2438">
          <cell r="U2438">
            <v>9600</v>
          </cell>
        </row>
        <row r="2439">
          <cell r="U2439">
            <v>9600</v>
          </cell>
        </row>
        <row r="2440">
          <cell r="U2440">
            <v>20090</v>
          </cell>
        </row>
        <row r="2441">
          <cell r="U2441">
            <v>20090</v>
          </cell>
        </row>
        <row r="2442">
          <cell r="U2442">
            <v>17220</v>
          </cell>
        </row>
        <row r="2443">
          <cell r="U2443">
            <v>21525</v>
          </cell>
        </row>
        <row r="2444">
          <cell r="U2444">
            <v>9600</v>
          </cell>
        </row>
        <row r="2445">
          <cell r="U2445">
            <v>18655</v>
          </cell>
        </row>
        <row r="2446">
          <cell r="U2446">
            <v>9600</v>
          </cell>
        </row>
        <row r="2447">
          <cell r="U2447">
            <v>31065.599999999999</v>
          </cell>
        </row>
        <row r="2448">
          <cell r="U2448">
            <v>62131.199999999997</v>
          </cell>
        </row>
        <row r="2449">
          <cell r="U2449">
            <v>31065.599999999999</v>
          </cell>
        </row>
        <row r="2450">
          <cell r="U2450">
            <v>17600</v>
          </cell>
        </row>
        <row r="2451">
          <cell r="U2451">
            <v>3520</v>
          </cell>
        </row>
        <row r="2452">
          <cell r="U2452">
            <v>20200</v>
          </cell>
        </row>
        <row r="2453">
          <cell r="U2453">
            <v>20200</v>
          </cell>
        </row>
        <row r="2454">
          <cell r="U2454">
            <v>19190</v>
          </cell>
        </row>
        <row r="2455">
          <cell r="U2455">
            <v>1010</v>
          </cell>
        </row>
        <row r="2456">
          <cell r="U2456">
            <v>20200</v>
          </cell>
        </row>
        <row r="2457">
          <cell r="U2457">
            <v>8060</v>
          </cell>
        </row>
        <row r="2458">
          <cell r="U2458">
            <v>8060</v>
          </cell>
        </row>
        <row r="2459">
          <cell r="U2459">
            <v>25120</v>
          </cell>
        </row>
        <row r="2460">
          <cell r="U2460">
            <v>25120</v>
          </cell>
        </row>
        <row r="2461">
          <cell r="U2461">
            <v>8060</v>
          </cell>
        </row>
        <row r="2462">
          <cell r="U2462">
            <v>25120</v>
          </cell>
        </row>
        <row r="2463">
          <cell r="U2463">
            <v>12090</v>
          </cell>
        </row>
        <row r="2464">
          <cell r="U2464">
            <v>8060</v>
          </cell>
        </row>
        <row r="2465">
          <cell r="U2465">
            <v>37680</v>
          </cell>
        </row>
        <row r="2466">
          <cell r="U2466">
            <v>25120</v>
          </cell>
        </row>
        <row r="2467">
          <cell r="U2467">
            <v>8060</v>
          </cell>
        </row>
        <row r="2468">
          <cell r="U2468">
            <v>25120</v>
          </cell>
        </row>
        <row r="2469">
          <cell r="U2469">
            <v>8060</v>
          </cell>
        </row>
        <row r="2470">
          <cell r="U2470">
            <v>25120</v>
          </cell>
        </row>
        <row r="2471">
          <cell r="U2471">
            <v>8060</v>
          </cell>
        </row>
        <row r="2472">
          <cell r="U2472">
            <v>25120</v>
          </cell>
        </row>
        <row r="2473">
          <cell r="U2473">
            <v>8060</v>
          </cell>
        </row>
        <row r="2474">
          <cell r="U2474">
            <v>25120</v>
          </cell>
        </row>
        <row r="2475">
          <cell r="U2475">
            <v>12090</v>
          </cell>
        </row>
        <row r="2476">
          <cell r="U2476">
            <v>37680</v>
          </cell>
        </row>
        <row r="2477">
          <cell r="U2477">
            <v>4030</v>
          </cell>
        </row>
        <row r="2478">
          <cell r="U2478">
            <v>25120</v>
          </cell>
        </row>
        <row r="2479">
          <cell r="U2479">
            <v>25120</v>
          </cell>
        </row>
        <row r="2480">
          <cell r="U2480">
            <v>12090</v>
          </cell>
        </row>
        <row r="2481">
          <cell r="U2481">
            <v>8060</v>
          </cell>
        </row>
        <row r="2482">
          <cell r="U2482">
            <v>37680</v>
          </cell>
        </row>
        <row r="2483">
          <cell r="U2483">
            <v>30240</v>
          </cell>
        </row>
        <row r="2484">
          <cell r="U2484">
            <v>15120</v>
          </cell>
        </row>
        <row r="2485">
          <cell r="U2485">
            <v>7290</v>
          </cell>
        </row>
        <row r="2486">
          <cell r="U2486">
            <v>15120</v>
          </cell>
        </row>
        <row r="2487">
          <cell r="U2487">
            <v>22680</v>
          </cell>
        </row>
        <row r="2488">
          <cell r="U2488">
            <v>10935</v>
          </cell>
        </row>
        <row r="2489">
          <cell r="U2489">
            <v>10935</v>
          </cell>
        </row>
        <row r="2490">
          <cell r="U2490">
            <v>22680</v>
          </cell>
        </row>
        <row r="2491">
          <cell r="U2491">
            <v>22680</v>
          </cell>
        </row>
        <row r="2492">
          <cell r="U2492">
            <v>7290</v>
          </cell>
        </row>
        <row r="2493">
          <cell r="U2493">
            <v>14580</v>
          </cell>
        </row>
        <row r="2494">
          <cell r="U2494">
            <v>4252.5</v>
          </cell>
        </row>
        <row r="2495">
          <cell r="U2495">
            <v>15120</v>
          </cell>
        </row>
        <row r="2496">
          <cell r="U2496">
            <v>3037.5</v>
          </cell>
        </row>
        <row r="2497">
          <cell r="U2497">
            <v>10935</v>
          </cell>
        </row>
        <row r="2498">
          <cell r="U2498">
            <v>22680</v>
          </cell>
        </row>
        <row r="2499">
          <cell r="U2499">
            <v>7290</v>
          </cell>
        </row>
        <row r="2500">
          <cell r="U2500">
            <v>15120</v>
          </cell>
        </row>
        <row r="2501">
          <cell r="U2501">
            <v>7290</v>
          </cell>
        </row>
        <row r="2502">
          <cell r="U2502">
            <v>15120</v>
          </cell>
        </row>
        <row r="2503">
          <cell r="U2503">
            <v>15120</v>
          </cell>
        </row>
        <row r="2504">
          <cell r="U2504">
            <v>7290</v>
          </cell>
        </row>
        <row r="2505">
          <cell r="U2505">
            <v>7290</v>
          </cell>
        </row>
        <row r="2506">
          <cell r="U2506">
            <v>15120</v>
          </cell>
        </row>
        <row r="2507">
          <cell r="U2507">
            <v>10935</v>
          </cell>
        </row>
        <row r="2508">
          <cell r="U2508">
            <v>22680</v>
          </cell>
        </row>
        <row r="2509">
          <cell r="U2509">
            <v>22680</v>
          </cell>
        </row>
        <row r="2510">
          <cell r="U2510">
            <v>10935</v>
          </cell>
        </row>
        <row r="2511">
          <cell r="U2511">
            <v>10935</v>
          </cell>
        </row>
        <row r="2512">
          <cell r="U2512">
            <v>10935</v>
          </cell>
        </row>
        <row r="2513">
          <cell r="U2513">
            <v>22680</v>
          </cell>
        </row>
        <row r="2514">
          <cell r="U2514">
            <v>1425.6</v>
          </cell>
        </row>
        <row r="2515">
          <cell r="U2515">
            <v>1380</v>
          </cell>
        </row>
        <row r="2516">
          <cell r="U2516">
            <v>1380</v>
          </cell>
        </row>
        <row r="2517">
          <cell r="U2517">
            <v>1380</v>
          </cell>
        </row>
        <row r="2518">
          <cell r="U2518">
            <v>1122</v>
          </cell>
        </row>
        <row r="2519">
          <cell r="U2519">
            <v>3528.8</v>
          </cell>
        </row>
        <row r="2520">
          <cell r="U2520">
            <v>3536</v>
          </cell>
        </row>
        <row r="2521">
          <cell r="U2521">
            <v>2121.6</v>
          </cell>
        </row>
        <row r="2522">
          <cell r="U2522">
            <v>2828.8</v>
          </cell>
        </row>
        <row r="2523">
          <cell r="U2523">
            <v>2121.6</v>
          </cell>
        </row>
        <row r="2524">
          <cell r="U2524">
            <v>11430</v>
          </cell>
        </row>
        <row r="2525">
          <cell r="U2525">
            <v>7920</v>
          </cell>
        </row>
        <row r="2526">
          <cell r="U2526">
            <v>15240</v>
          </cell>
        </row>
        <row r="2527">
          <cell r="U2527">
            <v>10560</v>
          </cell>
        </row>
        <row r="2528">
          <cell r="U2528">
            <v>1905</v>
          </cell>
        </row>
        <row r="2529">
          <cell r="U2529">
            <v>10560</v>
          </cell>
        </row>
        <row r="2530">
          <cell r="U2530">
            <v>5080</v>
          </cell>
        </row>
        <row r="2531">
          <cell r="U2531">
            <v>5280</v>
          </cell>
        </row>
        <row r="2532">
          <cell r="U2532">
            <v>10560</v>
          </cell>
        </row>
        <row r="2533">
          <cell r="U2533">
            <v>2540</v>
          </cell>
        </row>
        <row r="2534">
          <cell r="U2534">
            <v>7920</v>
          </cell>
        </row>
        <row r="2535">
          <cell r="U2535">
            <v>10560</v>
          </cell>
        </row>
        <row r="2536">
          <cell r="U2536">
            <v>11430</v>
          </cell>
        </row>
        <row r="2537">
          <cell r="U2537">
            <v>5080</v>
          </cell>
        </row>
        <row r="2538">
          <cell r="U2538">
            <v>15840</v>
          </cell>
        </row>
        <row r="2539">
          <cell r="U2539">
            <v>7620</v>
          </cell>
        </row>
        <row r="2540">
          <cell r="U2540">
            <v>5280</v>
          </cell>
        </row>
        <row r="2541">
          <cell r="U2541">
            <v>11430</v>
          </cell>
        </row>
        <row r="2542">
          <cell r="U2542">
            <v>15240</v>
          </cell>
        </row>
        <row r="2543">
          <cell r="U2543">
            <v>7920</v>
          </cell>
        </row>
        <row r="2544">
          <cell r="U2544">
            <v>9525</v>
          </cell>
        </row>
        <row r="2545">
          <cell r="U2545">
            <v>5940</v>
          </cell>
        </row>
        <row r="2546">
          <cell r="U2546">
            <v>15240</v>
          </cell>
        </row>
        <row r="2547">
          <cell r="U2547">
            <v>10560</v>
          </cell>
        </row>
        <row r="2548">
          <cell r="U2548">
            <v>10560</v>
          </cell>
        </row>
        <row r="2549">
          <cell r="U2549">
            <v>15240</v>
          </cell>
        </row>
        <row r="2550">
          <cell r="U2550">
            <v>2800</v>
          </cell>
        </row>
        <row r="2551">
          <cell r="U2551">
            <v>2800</v>
          </cell>
        </row>
        <row r="2552">
          <cell r="U2552">
            <v>336</v>
          </cell>
        </row>
        <row r="2553">
          <cell r="U2553">
            <v>336</v>
          </cell>
        </row>
        <row r="2554">
          <cell r="U2554">
            <v>350</v>
          </cell>
        </row>
        <row r="2555">
          <cell r="U2555">
            <v>350</v>
          </cell>
        </row>
        <row r="2556">
          <cell r="U2556">
            <v>2800</v>
          </cell>
        </row>
        <row r="2557">
          <cell r="U2557">
            <v>365</v>
          </cell>
        </row>
        <row r="2558">
          <cell r="U2558">
            <v>4000</v>
          </cell>
        </row>
        <row r="2559">
          <cell r="U2559">
            <v>412</v>
          </cell>
        </row>
        <row r="2560">
          <cell r="U2560">
            <v>897.6</v>
          </cell>
        </row>
        <row r="2561">
          <cell r="U2561">
            <v>1040</v>
          </cell>
        </row>
        <row r="2562">
          <cell r="U2562">
            <v>232</v>
          </cell>
        </row>
        <row r="2563">
          <cell r="U2563">
            <v>5157.5</v>
          </cell>
        </row>
        <row r="2564">
          <cell r="U2564">
            <v>5672.5</v>
          </cell>
        </row>
        <row r="2565">
          <cell r="U2565">
            <v>8694</v>
          </cell>
        </row>
        <row r="2566">
          <cell r="U2566">
            <v>4000</v>
          </cell>
        </row>
        <row r="2567">
          <cell r="U2567">
            <v>4200</v>
          </cell>
        </row>
        <row r="2568">
          <cell r="U2568">
            <v>4200</v>
          </cell>
        </row>
        <row r="2569">
          <cell r="U2569">
            <v>1224</v>
          </cell>
        </row>
        <row r="2570">
          <cell r="U2570">
            <v>261250</v>
          </cell>
        </row>
        <row r="2571">
          <cell r="U2571">
            <v>124700</v>
          </cell>
        </row>
        <row r="2572">
          <cell r="U2572">
            <v>8100</v>
          </cell>
        </row>
        <row r="2573">
          <cell r="U2573">
            <v>18900</v>
          </cell>
        </row>
        <row r="2574">
          <cell r="U2574">
            <v>18900</v>
          </cell>
        </row>
        <row r="2575">
          <cell r="U2575">
            <v>8500</v>
          </cell>
        </row>
        <row r="2576">
          <cell r="U2576">
            <v>8500</v>
          </cell>
        </row>
        <row r="2577">
          <cell r="U2577">
            <v>1125</v>
          </cell>
        </row>
        <row r="2578">
          <cell r="U2578">
            <v>8000</v>
          </cell>
        </row>
        <row r="2579">
          <cell r="U2579">
            <v>2700</v>
          </cell>
        </row>
        <row r="2580">
          <cell r="U2580">
            <v>1350</v>
          </cell>
        </row>
        <row r="2581">
          <cell r="U2581">
            <v>1100</v>
          </cell>
        </row>
        <row r="2582">
          <cell r="U2582">
            <v>3300</v>
          </cell>
        </row>
        <row r="2583">
          <cell r="U2583">
            <v>2200</v>
          </cell>
        </row>
        <row r="2584">
          <cell r="U2584">
            <v>180000</v>
          </cell>
        </row>
        <row r="2585">
          <cell r="U2585">
            <v>2100</v>
          </cell>
        </row>
        <row r="2586">
          <cell r="U2586">
            <v>2100</v>
          </cell>
        </row>
        <row r="2587">
          <cell r="U2587">
            <v>4350</v>
          </cell>
        </row>
        <row r="2588">
          <cell r="U2588">
            <v>12000</v>
          </cell>
        </row>
        <row r="2589">
          <cell r="U2589">
            <v>3050</v>
          </cell>
        </row>
        <row r="2590">
          <cell r="U2590">
            <v>4600</v>
          </cell>
        </row>
        <row r="2591">
          <cell r="U2591">
            <v>900</v>
          </cell>
        </row>
        <row r="2592">
          <cell r="U2592">
            <v>1200</v>
          </cell>
        </row>
        <row r="2593">
          <cell r="U2593">
            <v>320</v>
          </cell>
        </row>
        <row r="2594">
          <cell r="U2594">
            <v>320</v>
          </cell>
        </row>
        <row r="2595">
          <cell r="U2595">
            <v>160</v>
          </cell>
        </row>
        <row r="2596">
          <cell r="U2596">
            <v>160</v>
          </cell>
        </row>
        <row r="2597">
          <cell r="U2597">
            <v>480</v>
          </cell>
        </row>
        <row r="2598">
          <cell r="U2598">
            <v>160</v>
          </cell>
        </row>
        <row r="2599">
          <cell r="U2599">
            <v>80</v>
          </cell>
        </row>
        <row r="2600">
          <cell r="U2600">
            <v>320</v>
          </cell>
        </row>
        <row r="2601">
          <cell r="U2601">
            <v>80</v>
          </cell>
        </row>
        <row r="2602">
          <cell r="U2602">
            <v>160</v>
          </cell>
        </row>
        <row r="2603">
          <cell r="U2603">
            <v>80</v>
          </cell>
        </row>
        <row r="2604">
          <cell r="U2604">
            <v>80</v>
          </cell>
        </row>
        <row r="2605">
          <cell r="U2605">
            <v>550</v>
          </cell>
        </row>
        <row r="2606">
          <cell r="U2606">
            <v>825</v>
          </cell>
        </row>
        <row r="2607">
          <cell r="U2607">
            <v>6800</v>
          </cell>
        </row>
        <row r="2608">
          <cell r="U2608">
            <v>1054500</v>
          </cell>
        </row>
        <row r="2609">
          <cell r="U2609">
            <v>160000</v>
          </cell>
        </row>
        <row r="2610">
          <cell r="U2610">
            <v>160000</v>
          </cell>
        </row>
        <row r="2611">
          <cell r="U2611">
            <v>16000.3</v>
          </cell>
        </row>
        <row r="2612">
          <cell r="U2612">
            <v>6475</v>
          </cell>
        </row>
        <row r="2613">
          <cell r="U2613">
            <v>25900</v>
          </cell>
        </row>
        <row r="2614">
          <cell r="U2614">
            <v>6475</v>
          </cell>
        </row>
        <row r="2615">
          <cell r="U2615">
            <v>1275</v>
          </cell>
        </row>
        <row r="2616">
          <cell r="U2616">
            <v>35245</v>
          </cell>
        </row>
        <row r="2617">
          <cell r="U2617">
            <v>144000</v>
          </cell>
        </row>
        <row r="2618">
          <cell r="U2618">
            <v>181875</v>
          </cell>
        </row>
        <row r="2619">
          <cell r="U2619">
            <v>62700</v>
          </cell>
        </row>
        <row r="2620">
          <cell r="U2620">
            <v>85452.5</v>
          </cell>
        </row>
        <row r="2621">
          <cell r="U2621">
            <v>56430</v>
          </cell>
        </row>
        <row r="2622">
          <cell r="U2622">
            <v>86504.55</v>
          </cell>
        </row>
        <row r="2623">
          <cell r="U2623">
            <v>703296</v>
          </cell>
        </row>
        <row r="2624">
          <cell r="U2624">
            <v>80000</v>
          </cell>
        </row>
        <row r="2625">
          <cell r="U2625">
            <v>260000</v>
          </cell>
        </row>
        <row r="2626">
          <cell r="U2626">
            <v>260000</v>
          </cell>
        </row>
        <row r="2627">
          <cell r="U2627">
            <v>3750</v>
          </cell>
        </row>
        <row r="2628">
          <cell r="U2628">
            <v>3750</v>
          </cell>
        </row>
        <row r="2629">
          <cell r="U2629">
            <v>74650</v>
          </cell>
        </row>
        <row r="2630">
          <cell r="U2630">
            <v>8184.25</v>
          </cell>
        </row>
        <row r="2631">
          <cell r="U2631">
            <v>8615</v>
          </cell>
        </row>
        <row r="2632">
          <cell r="U2632">
            <v>102000</v>
          </cell>
        </row>
        <row r="2633">
          <cell r="U2633">
            <v>330</v>
          </cell>
        </row>
        <row r="2634">
          <cell r="U2634">
            <v>273890.40000000002</v>
          </cell>
        </row>
        <row r="2635">
          <cell r="U2635">
            <v>1520</v>
          </cell>
        </row>
        <row r="2636">
          <cell r="U2636">
            <v>30400</v>
          </cell>
        </row>
        <row r="2637">
          <cell r="U2637">
            <v>62945.05</v>
          </cell>
        </row>
        <row r="2638">
          <cell r="U2638">
            <v>237000</v>
          </cell>
        </row>
        <row r="2639">
          <cell r="U2639">
            <v>34000</v>
          </cell>
        </row>
        <row r="2640">
          <cell r="U2640">
            <v>13800</v>
          </cell>
        </row>
        <row r="2641">
          <cell r="U2641">
            <v>31050</v>
          </cell>
        </row>
        <row r="2642">
          <cell r="U2642">
            <v>19800</v>
          </cell>
        </row>
        <row r="2643">
          <cell r="U2643">
            <v>2427.6</v>
          </cell>
        </row>
        <row r="2644">
          <cell r="U2644">
            <v>2427.6</v>
          </cell>
        </row>
        <row r="2645">
          <cell r="U2645">
            <v>4167.5</v>
          </cell>
        </row>
        <row r="2646">
          <cell r="U2646">
            <v>4167.5</v>
          </cell>
        </row>
        <row r="2647">
          <cell r="U2647">
            <v>14549.25</v>
          </cell>
        </row>
        <row r="2648">
          <cell r="U2648">
            <v>15840</v>
          </cell>
        </row>
        <row r="2649">
          <cell r="U2649">
            <v>125000</v>
          </cell>
        </row>
        <row r="2650">
          <cell r="U2650">
            <v>3520</v>
          </cell>
        </row>
        <row r="2651">
          <cell r="U2651">
            <v>9000</v>
          </cell>
        </row>
        <row r="2652">
          <cell r="U2652">
            <v>32062.5</v>
          </cell>
        </row>
        <row r="2653">
          <cell r="U2653">
            <v>33500</v>
          </cell>
        </row>
        <row r="2654">
          <cell r="U2654">
            <v>140338</v>
          </cell>
        </row>
        <row r="2655">
          <cell r="U2655">
            <v>13680</v>
          </cell>
        </row>
        <row r="2656">
          <cell r="U2656">
            <v>12912</v>
          </cell>
        </row>
        <row r="2657">
          <cell r="U2657">
            <v>38736</v>
          </cell>
        </row>
        <row r="2658">
          <cell r="U2658">
            <v>38736</v>
          </cell>
        </row>
        <row r="2659">
          <cell r="U2659">
            <v>4500</v>
          </cell>
        </row>
        <row r="2660">
          <cell r="U2660">
            <v>4500</v>
          </cell>
        </row>
        <row r="2661">
          <cell r="U2661">
            <v>27000</v>
          </cell>
        </row>
        <row r="2662">
          <cell r="U2662">
            <v>4500</v>
          </cell>
        </row>
        <row r="2663">
          <cell r="U2663">
            <v>9000</v>
          </cell>
        </row>
        <row r="2664">
          <cell r="U2664">
            <v>4500</v>
          </cell>
        </row>
        <row r="2665">
          <cell r="U2665">
            <v>27000</v>
          </cell>
        </row>
        <row r="2666">
          <cell r="U2666">
            <v>9000</v>
          </cell>
        </row>
        <row r="2667">
          <cell r="U2667">
            <v>4500</v>
          </cell>
        </row>
        <row r="2668">
          <cell r="U2668">
            <v>4500</v>
          </cell>
        </row>
        <row r="2669">
          <cell r="U2669">
            <v>18000</v>
          </cell>
        </row>
        <row r="2670">
          <cell r="U2670">
            <v>1246.08</v>
          </cell>
        </row>
        <row r="2671">
          <cell r="U2671">
            <v>1960</v>
          </cell>
        </row>
        <row r="2672">
          <cell r="U2672">
            <v>1924.1</v>
          </cell>
        </row>
        <row r="2673">
          <cell r="U2673">
            <v>1081.92</v>
          </cell>
        </row>
        <row r="2674">
          <cell r="U2674">
            <v>2183.25</v>
          </cell>
        </row>
        <row r="2675">
          <cell r="U2675">
            <v>970</v>
          </cell>
        </row>
        <row r="2676">
          <cell r="U2676">
            <v>1311.5</v>
          </cell>
        </row>
        <row r="2677">
          <cell r="U2677">
            <v>2627.44</v>
          </cell>
        </row>
        <row r="2678">
          <cell r="U2678">
            <v>5237.71</v>
          </cell>
        </row>
        <row r="2679">
          <cell r="U2679">
            <v>8908.39</v>
          </cell>
        </row>
        <row r="2680">
          <cell r="U2680">
            <v>2720</v>
          </cell>
        </row>
        <row r="2681">
          <cell r="U2681">
            <v>2720</v>
          </cell>
        </row>
        <row r="2682">
          <cell r="U2682">
            <v>7520</v>
          </cell>
        </row>
        <row r="2683">
          <cell r="U2683">
            <v>10240</v>
          </cell>
        </row>
        <row r="2684">
          <cell r="U2684">
            <v>16450</v>
          </cell>
        </row>
        <row r="2685">
          <cell r="U2685">
            <v>60060</v>
          </cell>
        </row>
        <row r="2686">
          <cell r="U2686">
            <v>100440</v>
          </cell>
        </row>
        <row r="2687">
          <cell r="U2687">
            <v>60264</v>
          </cell>
        </row>
        <row r="2688">
          <cell r="U2688">
            <v>100440</v>
          </cell>
        </row>
        <row r="2689">
          <cell r="U2689">
            <v>17500</v>
          </cell>
        </row>
        <row r="2690">
          <cell r="U2690">
            <v>5400</v>
          </cell>
        </row>
        <row r="2691">
          <cell r="U2691">
            <v>43500</v>
          </cell>
        </row>
        <row r="2692">
          <cell r="U2692">
            <v>29450</v>
          </cell>
        </row>
        <row r="2693">
          <cell r="U2693">
            <v>9500</v>
          </cell>
        </row>
        <row r="2694">
          <cell r="U2694">
            <v>5543</v>
          </cell>
        </row>
        <row r="2695">
          <cell r="U2695">
            <v>117650</v>
          </cell>
        </row>
        <row r="2696">
          <cell r="U2696">
            <v>7350</v>
          </cell>
        </row>
        <row r="2697">
          <cell r="U2697">
            <v>4500</v>
          </cell>
        </row>
        <row r="2698">
          <cell r="U2698">
            <v>4600</v>
          </cell>
        </row>
        <row r="2699">
          <cell r="U2699">
            <v>5300</v>
          </cell>
        </row>
        <row r="2700">
          <cell r="U2700">
            <v>17840</v>
          </cell>
        </row>
        <row r="2701">
          <cell r="U2701">
            <v>8500</v>
          </cell>
        </row>
        <row r="2702">
          <cell r="U2702">
            <v>23760</v>
          </cell>
        </row>
        <row r="2703">
          <cell r="U2703">
            <v>5250</v>
          </cell>
        </row>
        <row r="2704">
          <cell r="U2704">
            <v>8000</v>
          </cell>
        </row>
        <row r="2705">
          <cell r="U2705">
            <v>11900</v>
          </cell>
        </row>
        <row r="2706">
          <cell r="U2706">
            <v>23760</v>
          </cell>
        </row>
        <row r="2707">
          <cell r="U2707">
            <v>23760</v>
          </cell>
        </row>
        <row r="2708">
          <cell r="U2708">
            <v>5822</v>
          </cell>
        </row>
        <row r="2709">
          <cell r="U2709">
            <v>160</v>
          </cell>
        </row>
        <row r="2710">
          <cell r="U2710">
            <v>6630</v>
          </cell>
        </row>
        <row r="2711">
          <cell r="U2711">
            <v>132600</v>
          </cell>
        </row>
        <row r="2712">
          <cell r="U2712">
            <v>63973</v>
          </cell>
        </row>
        <row r="2713">
          <cell r="U2713">
            <v>26980</v>
          </cell>
        </row>
        <row r="2714">
          <cell r="U2714">
            <v>35500</v>
          </cell>
        </row>
        <row r="2715">
          <cell r="U2715">
            <v>32350</v>
          </cell>
        </row>
        <row r="2716">
          <cell r="U2716">
            <v>26600</v>
          </cell>
        </row>
        <row r="2717">
          <cell r="U2717">
            <v>113050</v>
          </cell>
        </row>
        <row r="2718">
          <cell r="U2718">
            <v>19950</v>
          </cell>
        </row>
        <row r="2719">
          <cell r="U2719">
            <v>54560</v>
          </cell>
        </row>
        <row r="2720">
          <cell r="U2720">
            <v>28644</v>
          </cell>
        </row>
        <row r="2721">
          <cell r="U2721">
            <v>12300</v>
          </cell>
        </row>
        <row r="2722">
          <cell r="U2722">
            <v>14256</v>
          </cell>
        </row>
        <row r="2723">
          <cell r="U2723">
            <v>91632</v>
          </cell>
        </row>
        <row r="2724">
          <cell r="U2724">
            <v>58590</v>
          </cell>
        </row>
        <row r="2725">
          <cell r="U2725">
            <v>28435</v>
          </cell>
        </row>
        <row r="2726">
          <cell r="U2726">
            <v>32000</v>
          </cell>
        </row>
        <row r="2727">
          <cell r="U2727">
            <v>30720</v>
          </cell>
        </row>
        <row r="2728">
          <cell r="U2728">
            <v>31460</v>
          </cell>
        </row>
        <row r="2729">
          <cell r="U2729">
            <v>63345</v>
          </cell>
        </row>
        <row r="2730">
          <cell r="U2730">
            <v>14036</v>
          </cell>
        </row>
        <row r="2731">
          <cell r="U2731">
            <v>63345</v>
          </cell>
        </row>
        <row r="2732">
          <cell r="U2732">
            <v>83125</v>
          </cell>
        </row>
        <row r="2733">
          <cell r="U2733">
            <v>27470</v>
          </cell>
        </row>
        <row r="2734">
          <cell r="U2734">
            <v>29565.37</v>
          </cell>
        </row>
        <row r="2735">
          <cell r="U2735">
            <v>59448</v>
          </cell>
        </row>
        <row r="2736">
          <cell r="U2736">
            <v>8104.05</v>
          </cell>
        </row>
        <row r="2737">
          <cell r="U2737">
            <v>81339.350000000006</v>
          </cell>
        </row>
        <row r="2738">
          <cell r="U2738">
            <v>61460.47</v>
          </cell>
        </row>
        <row r="2739">
          <cell r="U2739">
            <v>25846.92</v>
          </cell>
        </row>
        <row r="2740">
          <cell r="U2740">
            <v>82836.77</v>
          </cell>
        </row>
        <row r="2741">
          <cell r="U2741">
            <v>22034.61</v>
          </cell>
        </row>
        <row r="2742">
          <cell r="U2742">
            <v>34022.75</v>
          </cell>
        </row>
        <row r="2743">
          <cell r="U2743">
            <v>70691.78</v>
          </cell>
        </row>
        <row r="2744">
          <cell r="U2744">
            <v>38310.15</v>
          </cell>
        </row>
        <row r="2745">
          <cell r="U2745">
            <v>56028.79</v>
          </cell>
        </row>
        <row r="2746">
          <cell r="U2746">
            <v>27672.12</v>
          </cell>
        </row>
        <row r="2747">
          <cell r="U2747">
            <v>29988</v>
          </cell>
        </row>
        <row r="2748">
          <cell r="U2748">
            <v>24639.119999999999</v>
          </cell>
        </row>
        <row r="2749">
          <cell r="U2749">
            <v>159481.64000000001</v>
          </cell>
        </row>
        <row r="2750">
          <cell r="U2750">
            <v>51284.18</v>
          </cell>
        </row>
        <row r="2751">
          <cell r="U2751">
            <v>16551.53</v>
          </cell>
        </row>
        <row r="2752">
          <cell r="U2752">
            <v>20689.419999999998</v>
          </cell>
        </row>
        <row r="2753">
          <cell r="U2753">
            <v>18328</v>
          </cell>
        </row>
        <row r="2754">
          <cell r="U2754">
            <v>17856</v>
          </cell>
        </row>
        <row r="2755">
          <cell r="U2755">
            <v>26550.26</v>
          </cell>
        </row>
        <row r="2756">
          <cell r="U2756">
            <v>34214.400000000001</v>
          </cell>
        </row>
        <row r="2757">
          <cell r="U2757">
            <v>26159.759999999998</v>
          </cell>
        </row>
        <row r="2758">
          <cell r="U2758">
            <v>33661.35</v>
          </cell>
        </row>
        <row r="2759">
          <cell r="U2759">
            <v>10832.18</v>
          </cell>
        </row>
        <row r="2760">
          <cell r="U2760">
            <v>27080.46</v>
          </cell>
        </row>
        <row r="2761">
          <cell r="U2761">
            <v>15768.98</v>
          </cell>
        </row>
        <row r="2762">
          <cell r="U2762">
            <v>19474.29</v>
          </cell>
        </row>
        <row r="2763">
          <cell r="U2763">
            <v>4930.2</v>
          </cell>
        </row>
        <row r="2764">
          <cell r="U2764">
            <v>21888</v>
          </cell>
        </row>
        <row r="2765">
          <cell r="U2765">
            <v>12448.16</v>
          </cell>
        </row>
        <row r="2766">
          <cell r="U2766">
            <v>23745.87</v>
          </cell>
        </row>
        <row r="2767">
          <cell r="U2767">
            <v>14977.95</v>
          </cell>
        </row>
        <row r="2768">
          <cell r="U2768">
            <v>37444.870000000003</v>
          </cell>
        </row>
        <row r="2769">
          <cell r="U2769">
            <v>34452</v>
          </cell>
        </row>
        <row r="2770">
          <cell r="U2770">
            <v>28037.200000000001</v>
          </cell>
        </row>
        <row r="2771">
          <cell r="U2771">
            <v>96002.81</v>
          </cell>
        </row>
        <row r="2772">
          <cell r="U2772">
            <v>14307.68</v>
          </cell>
        </row>
        <row r="2773">
          <cell r="U2773">
            <v>35998.78</v>
          </cell>
        </row>
        <row r="2774">
          <cell r="U2774">
            <v>16078.1</v>
          </cell>
        </row>
        <row r="2775">
          <cell r="U2775">
            <v>1139.75</v>
          </cell>
        </row>
        <row r="2776">
          <cell r="U2776">
            <v>1212.5</v>
          </cell>
        </row>
        <row r="2777">
          <cell r="U2777">
            <v>2400</v>
          </cell>
        </row>
        <row r="2778">
          <cell r="U2778">
            <v>1382.4</v>
          </cell>
        </row>
        <row r="2779">
          <cell r="U2779">
            <v>1144.5999999999999</v>
          </cell>
        </row>
        <row r="2780">
          <cell r="U2780">
            <v>792</v>
          </cell>
        </row>
        <row r="2781">
          <cell r="U2781">
            <v>1261</v>
          </cell>
        </row>
        <row r="2782">
          <cell r="U2782">
            <v>3000</v>
          </cell>
        </row>
        <row r="2783">
          <cell r="U2783">
            <v>1728</v>
          </cell>
        </row>
        <row r="2784">
          <cell r="U2784">
            <v>748.8</v>
          </cell>
        </row>
        <row r="2785">
          <cell r="U2785">
            <v>1780</v>
          </cell>
        </row>
        <row r="2786">
          <cell r="U2786">
            <v>2240.6999999999998</v>
          </cell>
        </row>
        <row r="2787">
          <cell r="U2787">
            <v>1987.2</v>
          </cell>
        </row>
        <row r="2788">
          <cell r="U2788">
            <v>3564</v>
          </cell>
        </row>
        <row r="2789">
          <cell r="U2789">
            <v>7680</v>
          </cell>
        </row>
        <row r="2790">
          <cell r="U2790">
            <v>7372.8</v>
          </cell>
        </row>
        <row r="2791">
          <cell r="U2791">
            <v>8136</v>
          </cell>
        </row>
        <row r="2792">
          <cell r="U2792">
            <v>3600</v>
          </cell>
        </row>
        <row r="2793">
          <cell r="U2793">
            <v>307.2</v>
          </cell>
        </row>
        <row r="2794">
          <cell r="U2794">
            <v>1821.6</v>
          </cell>
        </row>
        <row r="2795">
          <cell r="U2795">
            <v>376.32</v>
          </cell>
        </row>
        <row r="2796">
          <cell r="U2796">
            <v>1354.75</v>
          </cell>
        </row>
        <row r="2797">
          <cell r="U2797">
            <v>1617.41</v>
          </cell>
        </row>
        <row r="2798">
          <cell r="U2798">
            <v>1572.48</v>
          </cell>
        </row>
        <row r="2799">
          <cell r="U2799">
            <v>9603</v>
          </cell>
        </row>
        <row r="2800">
          <cell r="U2800">
            <v>978</v>
          </cell>
        </row>
        <row r="2801">
          <cell r="U2801">
            <v>3716.8</v>
          </cell>
        </row>
        <row r="2802">
          <cell r="U2802">
            <v>6714.6</v>
          </cell>
        </row>
        <row r="2803">
          <cell r="U2803">
            <v>4750</v>
          </cell>
        </row>
        <row r="2804">
          <cell r="U2804">
            <v>2286</v>
          </cell>
        </row>
        <row r="2805">
          <cell r="U2805">
            <v>4320</v>
          </cell>
        </row>
        <row r="2806">
          <cell r="U2806">
            <v>2172.8000000000002</v>
          </cell>
        </row>
        <row r="2807">
          <cell r="U2807">
            <v>449.28</v>
          </cell>
        </row>
        <row r="2808">
          <cell r="U2808">
            <v>3259.2</v>
          </cell>
        </row>
        <row r="2809">
          <cell r="U2809">
            <v>1617.41</v>
          </cell>
        </row>
        <row r="2810">
          <cell r="U2810">
            <v>449.28</v>
          </cell>
        </row>
        <row r="2811">
          <cell r="U2811">
            <v>491.28</v>
          </cell>
        </row>
        <row r="2812">
          <cell r="U2812">
            <v>1655.04</v>
          </cell>
        </row>
        <row r="2813">
          <cell r="U2813">
            <v>2952.96</v>
          </cell>
        </row>
        <row r="2814">
          <cell r="U2814">
            <v>14701.5</v>
          </cell>
        </row>
        <row r="2815">
          <cell r="U2815">
            <v>2743.5</v>
          </cell>
        </row>
        <row r="2816">
          <cell r="U2816">
            <v>5424</v>
          </cell>
        </row>
        <row r="2817">
          <cell r="U2817">
            <v>4200</v>
          </cell>
        </row>
        <row r="2818">
          <cell r="U2818">
            <v>3361.95</v>
          </cell>
        </row>
        <row r="2819">
          <cell r="U2819">
            <v>5238</v>
          </cell>
        </row>
        <row r="2820">
          <cell r="U2820">
            <v>2085.12</v>
          </cell>
        </row>
        <row r="2821">
          <cell r="U2821">
            <v>2376</v>
          </cell>
        </row>
        <row r="2822">
          <cell r="U2822">
            <v>1600</v>
          </cell>
        </row>
        <row r="2823">
          <cell r="U2823">
            <v>4603.5</v>
          </cell>
        </row>
        <row r="2824">
          <cell r="U2824">
            <v>9024</v>
          </cell>
        </row>
        <row r="2825">
          <cell r="U2825">
            <v>3465.6</v>
          </cell>
        </row>
        <row r="2826">
          <cell r="U2826">
            <v>7566</v>
          </cell>
        </row>
        <row r="2827">
          <cell r="U2827">
            <v>13200</v>
          </cell>
        </row>
        <row r="2828">
          <cell r="U2828">
            <v>5068.8</v>
          </cell>
        </row>
        <row r="2829">
          <cell r="U2829">
            <v>3786.75</v>
          </cell>
        </row>
        <row r="2830">
          <cell r="U2830">
            <v>3114</v>
          </cell>
        </row>
        <row r="2831">
          <cell r="U2831">
            <v>5350</v>
          </cell>
        </row>
        <row r="2832">
          <cell r="U2832">
            <v>5200</v>
          </cell>
        </row>
        <row r="2833">
          <cell r="U2833">
            <v>10809.6</v>
          </cell>
        </row>
        <row r="2834">
          <cell r="U2834">
            <v>21231.9</v>
          </cell>
        </row>
        <row r="2835">
          <cell r="U2835">
            <v>12771</v>
          </cell>
        </row>
        <row r="2836">
          <cell r="U2836">
            <v>17423</v>
          </cell>
        </row>
        <row r="2837">
          <cell r="U2837">
            <v>4602</v>
          </cell>
        </row>
        <row r="2838">
          <cell r="U2838">
            <v>7370</v>
          </cell>
        </row>
        <row r="2839">
          <cell r="U2839">
            <v>7502.4</v>
          </cell>
        </row>
        <row r="2840">
          <cell r="U2840">
            <v>22507.200000000001</v>
          </cell>
        </row>
        <row r="2841">
          <cell r="U2841">
            <v>32048.799999999999</v>
          </cell>
        </row>
        <row r="2842">
          <cell r="U2842">
            <v>25212.6</v>
          </cell>
        </row>
        <row r="2843">
          <cell r="U2843">
            <v>27185.759999999998</v>
          </cell>
        </row>
        <row r="2844">
          <cell r="U2844">
            <v>2450</v>
          </cell>
        </row>
        <row r="2845">
          <cell r="U2845">
            <v>7482</v>
          </cell>
        </row>
        <row r="2846">
          <cell r="U2846">
            <v>1560</v>
          </cell>
        </row>
        <row r="2847">
          <cell r="U2847">
            <v>6534</v>
          </cell>
        </row>
        <row r="2848">
          <cell r="U2848">
            <v>13662</v>
          </cell>
        </row>
        <row r="2849">
          <cell r="U2849">
            <v>10692</v>
          </cell>
        </row>
        <row r="2850">
          <cell r="U2850">
            <v>2604</v>
          </cell>
        </row>
        <row r="2851">
          <cell r="U2851">
            <v>4912.8</v>
          </cell>
        </row>
        <row r="2852">
          <cell r="U2852">
            <v>3050</v>
          </cell>
        </row>
        <row r="2853">
          <cell r="U2853">
            <v>1782</v>
          </cell>
        </row>
        <row r="2854">
          <cell r="U2854">
            <v>2970</v>
          </cell>
        </row>
        <row r="2855">
          <cell r="U2855">
            <v>6720</v>
          </cell>
        </row>
        <row r="2856">
          <cell r="U2856">
            <v>12716.7</v>
          </cell>
        </row>
        <row r="2857">
          <cell r="U2857">
            <v>9235.2000000000007</v>
          </cell>
        </row>
        <row r="2858">
          <cell r="U2858">
            <v>31919.62</v>
          </cell>
        </row>
        <row r="2859">
          <cell r="U2859">
            <v>20592</v>
          </cell>
        </row>
        <row r="2860">
          <cell r="U2860">
            <v>5940</v>
          </cell>
        </row>
        <row r="2861">
          <cell r="U2861">
            <v>14084.4</v>
          </cell>
        </row>
        <row r="2862">
          <cell r="U2862">
            <v>10080</v>
          </cell>
        </row>
        <row r="2863">
          <cell r="U2863">
            <v>7202.25</v>
          </cell>
        </row>
        <row r="2864">
          <cell r="U2864">
            <v>7202.25</v>
          </cell>
        </row>
        <row r="2865">
          <cell r="U2865">
            <v>11132</v>
          </cell>
        </row>
        <row r="2866">
          <cell r="U2866">
            <v>12595.2</v>
          </cell>
        </row>
        <row r="2867">
          <cell r="U2867">
            <v>1708.8</v>
          </cell>
        </row>
        <row r="2868">
          <cell r="U2868">
            <v>7872</v>
          </cell>
        </row>
        <row r="2869">
          <cell r="U2869">
            <v>9108</v>
          </cell>
        </row>
        <row r="2870">
          <cell r="U2870">
            <v>3692.1</v>
          </cell>
        </row>
        <row r="2871">
          <cell r="U2871">
            <v>4750</v>
          </cell>
        </row>
        <row r="2872">
          <cell r="U2872">
            <v>14703.3</v>
          </cell>
        </row>
        <row r="2873">
          <cell r="U2873">
            <v>7440</v>
          </cell>
        </row>
        <row r="2874">
          <cell r="U2874">
            <v>9900</v>
          </cell>
        </row>
        <row r="2875">
          <cell r="U2875">
            <v>9801</v>
          </cell>
        </row>
        <row r="2876">
          <cell r="U2876">
            <v>1165.72</v>
          </cell>
        </row>
        <row r="2877">
          <cell r="U2877">
            <v>2326.5</v>
          </cell>
        </row>
        <row r="2878">
          <cell r="U2878">
            <v>2304</v>
          </cell>
        </row>
        <row r="2879">
          <cell r="U2879">
            <v>2302</v>
          </cell>
        </row>
        <row r="2880">
          <cell r="U2880">
            <v>1989.9</v>
          </cell>
        </row>
        <row r="2881">
          <cell r="U2881">
            <v>1658.88</v>
          </cell>
        </row>
        <row r="2882">
          <cell r="U2882">
            <v>3316.5</v>
          </cell>
        </row>
        <row r="2883">
          <cell r="U2883">
            <v>1382.4</v>
          </cell>
        </row>
        <row r="2884">
          <cell r="U2884">
            <v>3316.5</v>
          </cell>
        </row>
        <row r="2885">
          <cell r="U2885">
            <v>3264</v>
          </cell>
        </row>
        <row r="2886">
          <cell r="U2886">
            <v>2079</v>
          </cell>
        </row>
        <row r="2887">
          <cell r="U2887">
            <v>2494.8000000000002</v>
          </cell>
        </row>
        <row r="2888">
          <cell r="U2888">
            <v>2520</v>
          </cell>
        </row>
        <row r="2889">
          <cell r="U2889">
            <v>2415.3000000000002</v>
          </cell>
        </row>
        <row r="2890">
          <cell r="U2890">
            <v>2419.1999999999998</v>
          </cell>
        </row>
        <row r="2891">
          <cell r="U2891">
            <v>2321.2800000000002</v>
          </cell>
        </row>
        <row r="2892">
          <cell r="U2892">
            <v>4000</v>
          </cell>
        </row>
        <row r="2893">
          <cell r="U2893">
            <v>52962</v>
          </cell>
        </row>
        <row r="2894">
          <cell r="U2894">
            <v>4838.3999999999996</v>
          </cell>
        </row>
        <row r="2895">
          <cell r="U2895">
            <v>8000</v>
          </cell>
        </row>
        <row r="2896">
          <cell r="U2896">
            <v>9088.2000000000007</v>
          </cell>
        </row>
        <row r="2897">
          <cell r="U2897">
            <v>7200</v>
          </cell>
        </row>
        <row r="2898">
          <cell r="U2898">
            <v>2178</v>
          </cell>
        </row>
        <row r="2899">
          <cell r="U2899">
            <v>1650</v>
          </cell>
        </row>
        <row r="2900">
          <cell r="U2900">
            <v>5445</v>
          </cell>
        </row>
        <row r="2901">
          <cell r="U2901">
            <v>1080</v>
          </cell>
        </row>
        <row r="2902">
          <cell r="U2902">
            <v>7659</v>
          </cell>
        </row>
        <row r="2903">
          <cell r="U2903">
            <v>3210</v>
          </cell>
        </row>
        <row r="2904">
          <cell r="U2904">
            <v>6652.8</v>
          </cell>
        </row>
        <row r="2905">
          <cell r="U2905">
            <v>82277.100000000006</v>
          </cell>
        </row>
        <row r="2906">
          <cell r="U2906">
            <v>779.62</v>
          </cell>
        </row>
        <row r="2907">
          <cell r="U2907">
            <v>816.75</v>
          </cell>
        </row>
        <row r="2908">
          <cell r="U2908">
            <v>1633.5</v>
          </cell>
        </row>
        <row r="2909">
          <cell r="U2909">
            <v>1728</v>
          </cell>
        </row>
        <row r="2910">
          <cell r="U2910">
            <v>2772</v>
          </cell>
        </row>
        <row r="2911">
          <cell r="U2911">
            <v>994.25</v>
          </cell>
        </row>
        <row r="2912">
          <cell r="U2912">
            <v>954.48</v>
          </cell>
        </row>
        <row r="2913">
          <cell r="U2913">
            <v>2227.5</v>
          </cell>
        </row>
        <row r="2914">
          <cell r="U2914">
            <v>787.05</v>
          </cell>
        </row>
        <row r="2915">
          <cell r="U2915">
            <v>1440</v>
          </cell>
        </row>
        <row r="2916">
          <cell r="U2916">
            <v>1069.5</v>
          </cell>
        </row>
        <row r="2917">
          <cell r="U2917">
            <v>1728</v>
          </cell>
        </row>
        <row r="2918">
          <cell r="U2918">
            <v>1633.5</v>
          </cell>
        </row>
        <row r="2919">
          <cell r="U2919">
            <v>1382.4</v>
          </cell>
        </row>
        <row r="2920">
          <cell r="U2920">
            <v>2400</v>
          </cell>
        </row>
        <row r="2921">
          <cell r="U2921">
            <v>2227.5</v>
          </cell>
        </row>
        <row r="2922">
          <cell r="U2922">
            <v>2623.5</v>
          </cell>
        </row>
        <row r="2923">
          <cell r="U2923">
            <v>757.35</v>
          </cell>
        </row>
        <row r="2924">
          <cell r="U2924">
            <v>1534.5</v>
          </cell>
        </row>
        <row r="2925">
          <cell r="U2925">
            <v>1831.5</v>
          </cell>
        </row>
        <row r="2926">
          <cell r="U2926">
            <v>825.6</v>
          </cell>
        </row>
        <row r="2927">
          <cell r="U2927">
            <v>1416.96</v>
          </cell>
        </row>
        <row r="2928">
          <cell r="U2928">
            <v>4296.6000000000004</v>
          </cell>
        </row>
        <row r="2929">
          <cell r="U2929">
            <v>1190.4000000000001</v>
          </cell>
        </row>
        <row r="2930">
          <cell r="U2930">
            <v>2125.44</v>
          </cell>
        </row>
        <row r="2931">
          <cell r="U2931">
            <v>1440</v>
          </cell>
        </row>
        <row r="2932">
          <cell r="U2932">
            <v>1299.8399999999999</v>
          </cell>
        </row>
        <row r="2933">
          <cell r="U2933">
            <v>5445</v>
          </cell>
        </row>
        <row r="2934">
          <cell r="U2934">
            <v>980.1</v>
          </cell>
        </row>
        <row r="2935">
          <cell r="U2935">
            <v>533.6</v>
          </cell>
        </row>
        <row r="2936">
          <cell r="U2936">
            <v>307.2</v>
          </cell>
        </row>
        <row r="2937">
          <cell r="U2937">
            <v>142.08000000000001</v>
          </cell>
        </row>
        <row r="2938">
          <cell r="U2938">
            <v>811.8</v>
          </cell>
        </row>
        <row r="2939">
          <cell r="U2939">
            <v>538.20000000000005</v>
          </cell>
        </row>
        <row r="2940">
          <cell r="U2940">
            <v>1732.5</v>
          </cell>
        </row>
        <row r="2941">
          <cell r="U2941">
            <v>2392</v>
          </cell>
        </row>
        <row r="2942">
          <cell r="U2942">
            <v>3055.05</v>
          </cell>
        </row>
        <row r="2943">
          <cell r="U2943">
            <v>1063.68</v>
          </cell>
        </row>
        <row r="2944">
          <cell r="U2944">
            <v>5850</v>
          </cell>
        </row>
        <row r="2945">
          <cell r="U2945">
            <v>3900</v>
          </cell>
        </row>
        <row r="2946">
          <cell r="U2946">
            <v>1775.55</v>
          </cell>
        </row>
        <row r="2947">
          <cell r="U2947">
            <v>1435.2</v>
          </cell>
        </row>
        <row r="2948">
          <cell r="U2948">
            <v>760.95</v>
          </cell>
        </row>
        <row r="2949">
          <cell r="U2949">
            <v>5875.2</v>
          </cell>
        </row>
        <row r="2950">
          <cell r="U2950">
            <v>143.52000000000001</v>
          </cell>
        </row>
        <row r="2951">
          <cell r="U2951">
            <v>268.8</v>
          </cell>
        </row>
        <row r="2952">
          <cell r="U2952">
            <v>1306.8</v>
          </cell>
        </row>
        <row r="2953">
          <cell r="U2953">
            <v>275.08</v>
          </cell>
        </row>
        <row r="2954">
          <cell r="U2954">
            <v>239.2</v>
          </cell>
        </row>
        <row r="2955">
          <cell r="U2955">
            <v>478.4</v>
          </cell>
        </row>
        <row r="2956">
          <cell r="U2956">
            <v>861.12</v>
          </cell>
        </row>
        <row r="2957">
          <cell r="U2957">
            <v>2188.8000000000002</v>
          </cell>
        </row>
        <row r="2958">
          <cell r="U2958">
            <v>1940</v>
          </cell>
        </row>
        <row r="2959">
          <cell r="U2959">
            <v>1725</v>
          </cell>
        </row>
        <row r="2960">
          <cell r="U2960">
            <v>9775</v>
          </cell>
        </row>
        <row r="2961">
          <cell r="U2961">
            <v>8900</v>
          </cell>
        </row>
        <row r="2962">
          <cell r="U2962">
            <v>2295</v>
          </cell>
        </row>
        <row r="2963">
          <cell r="U2963">
            <v>5355</v>
          </cell>
        </row>
        <row r="2964">
          <cell r="U2964">
            <v>2910</v>
          </cell>
        </row>
        <row r="2965">
          <cell r="U2965">
            <v>6790</v>
          </cell>
        </row>
        <row r="2966">
          <cell r="U2966">
            <v>5000</v>
          </cell>
        </row>
        <row r="2967">
          <cell r="U2967">
            <v>1881.8</v>
          </cell>
        </row>
        <row r="2968">
          <cell r="U2968">
            <v>855</v>
          </cell>
        </row>
        <row r="2969">
          <cell r="U2969">
            <v>4845</v>
          </cell>
        </row>
        <row r="2970">
          <cell r="U2970">
            <v>1155</v>
          </cell>
        </row>
        <row r="2971">
          <cell r="U2971">
            <v>6545</v>
          </cell>
        </row>
        <row r="2972">
          <cell r="U2972">
            <v>26000</v>
          </cell>
        </row>
        <row r="2973">
          <cell r="U2973">
            <v>106000</v>
          </cell>
        </row>
        <row r="2974">
          <cell r="U2974">
            <v>16803.599999999999</v>
          </cell>
        </row>
        <row r="2975">
          <cell r="U2975">
            <v>16803.599999999999</v>
          </cell>
        </row>
        <row r="2976">
          <cell r="U2976">
            <v>48960</v>
          </cell>
        </row>
        <row r="2977">
          <cell r="U2977">
            <v>172800</v>
          </cell>
        </row>
        <row r="2978">
          <cell r="U2978">
            <v>18354</v>
          </cell>
        </row>
        <row r="2979">
          <cell r="U2979">
            <v>18354</v>
          </cell>
        </row>
        <row r="2980">
          <cell r="U2980">
            <v>32500</v>
          </cell>
        </row>
        <row r="2981">
          <cell r="U2981">
            <v>40590</v>
          </cell>
        </row>
        <row r="2982">
          <cell r="U2982">
            <v>61200</v>
          </cell>
        </row>
        <row r="2983">
          <cell r="U2983">
            <v>5254.88</v>
          </cell>
        </row>
        <row r="2984">
          <cell r="U2984">
            <v>85025</v>
          </cell>
        </row>
        <row r="2985">
          <cell r="U2985">
            <v>5292</v>
          </cell>
        </row>
        <row r="2986">
          <cell r="U2986">
            <v>4750</v>
          </cell>
        </row>
        <row r="2987">
          <cell r="U2987">
            <v>161616</v>
          </cell>
        </row>
        <row r="2988">
          <cell r="U2988">
            <v>60876.46</v>
          </cell>
        </row>
        <row r="2989">
          <cell r="U2989">
            <v>32550.75</v>
          </cell>
        </row>
        <row r="2990">
          <cell r="U2990">
            <v>72200.7</v>
          </cell>
        </row>
        <row r="2991">
          <cell r="U2991">
            <v>46656</v>
          </cell>
        </row>
        <row r="2992">
          <cell r="U2992">
            <v>69984</v>
          </cell>
        </row>
        <row r="2993">
          <cell r="U2993">
            <v>185916.68</v>
          </cell>
        </row>
        <row r="2994">
          <cell r="U2994">
            <v>1020</v>
          </cell>
        </row>
        <row r="2995">
          <cell r="U2995">
            <v>1020</v>
          </cell>
        </row>
        <row r="2996">
          <cell r="U2996">
            <v>170</v>
          </cell>
        </row>
        <row r="2997">
          <cell r="U2997">
            <v>375</v>
          </cell>
        </row>
        <row r="2998">
          <cell r="U2998">
            <v>375</v>
          </cell>
        </row>
        <row r="2999">
          <cell r="U2999">
            <v>125</v>
          </cell>
        </row>
        <row r="3000">
          <cell r="U3000">
            <v>510</v>
          </cell>
        </row>
        <row r="3001">
          <cell r="U3001">
            <v>1020</v>
          </cell>
        </row>
        <row r="3002">
          <cell r="U3002">
            <v>1020</v>
          </cell>
        </row>
        <row r="3003">
          <cell r="U3003">
            <v>340</v>
          </cell>
        </row>
        <row r="3004">
          <cell r="U3004">
            <v>375</v>
          </cell>
        </row>
        <row r="3005">
          <cell r="U3005">
            <v>1020</v>
          </cell>
        </row>
        <row r="3006">
          <cell r="U3006">
            <v>170</v>
          </cell>
        </row>
        <row r="3007">
          <cell r="U3007">
            <v>510</v>
          </cell>
        </row>
        <row r="3008">
          <cell r="U3008">
            <v>1020</v>
          </cell>
        </row>
        <row r="3009">
          <cell r="U3009">
            <v>850</v>
          </cell>
        </row>
        <row r="3010">
          <cell r="U3010">
            <v>1360</v>
          </cell>
        </row>
        <row r="3011">
          <cell r="U3011">
            <v>1020</v>
          </cell>
        </row>
        <row r="3012">
          <cell r="U3012">
            <v>1020</v>
          </cell>
        </row>
        <row r="3013">
          <cell r="U3013">
            <v>340</v>
          </cell>
        </row>
        <row r="3014">
          <cell r="U3014">
            <v>250</v>
          </cell>
        </row>
        <row r="3015">
          <cell r="U3015">
            <v>51606.67</v>
          </cell>
        </row>
        <row r="3016">
          <cell r="U3016">
            <v>103213.33</v>
          </cell>
        </row>
        <row r="3017">
          <cell r="U3017">
            <v>7650</v>
          </cell>
        </row>
        <row r="3018">
          <cell r="U3018">
            <v>4204.96</v>
          </cell>
        </row>
        <row r="3019">
          <cell r="U3019">
            <v>5606.62</v>
          </cell>
        </row>
        <row r="3020">
          <cell r="U3020">
            <v>8492.67</v>
          </cell>
        </row>
        <row r="3021">
          <cell r="U3021">
            <v>12411</v>
          </cell>
        </row>
        <row r="3022">
          <cell r="U3022">
            <v>600</v>
          </cell>
        </row>
        <row r="3023">
          <cell r="U3023">
            <v>980</v>
          </cell>
        </row>
        <row r="3024">
          <cell r="U3024">
            <v>30590</v>
          </cell>
        </row>
        <row r="3025">
          <cell r="U3025">
            <v>15295</v>
          </cell>
        </row>
        <row r="3026">
          <cell r="U3026">
            <v>15295</v>
          </cell>
        </row>
        <row r="3027">
          <cell r="U3027">
            <v>15295</v>
          </cell>
        </row>
        <row r="3028">
          <cell r="U3028">
            <v>15295</v>
          </cell>
        </row>
        <row r="3029">
          <cell r="U3029">
            <v>750</v>
          </cell>
        </row>
        <row r="3030">
          <cell r="U3030">
            <v>18750</v>
          </cell>
        </row>
        <row r="3031">
          <cell r="U3031">
            <v>37500</v>
          </cell>
        </row>
        <row r="3032">
          <cell r="U3032">
            <v>40388</v>
          </cell>
        </row>
        <row r="3033">
          <cell r="U3033">
            <v>10097</v>
          </cell>
        </row>
        <row r="3034">
          <cell r="U3034">
            <v>20556</v>
          </cell>
        </row>
        <row r="3035">
          <cell r="U3035">
            <v>4042.5</v>
          </cell>
        </row>
        <row r="3036">
          <cell r="U3036">
            <v>1600</v>
          </cell>
        </row>
        <row r="3037">
          <cell r="U3037">
            <v>9850</v>
          </cell>
        </row>
        <row r="3038">
          <cell r="U3038">
            <v>19800</v>
          </cell>
        </row>
        <row r="3039">
          <cell r="U3039">
            <v>3038600</v>
          </cell>
        </row>
        <row r="3040">
          <cell r="U3040">
            <v>10000</v>
          </cell>
        </row>
        <row r="3041">
          <cell r="U3041">
            <v>10000</v>
          </cell>
        </row>
        <row r="3042">
          <cell r="U3042">
            <v>19500</v>
          </cell>
        </row>
        <row r="3043">
          <cell r="U3043">
            <v>12492</v>
          </cell>
        </row>
        <row r="3044">
          <cell r="U3044">
            <v>14820</v>
          </cell>
        </row>
        <row r="3045">
          <cell r="U3045">
            <v>11610</v>
          </cell>
        </row>
        <row r="3046">
          <cell r="U3046">
            <v>2800</v>
          </cell>
        </row>
        <row r="3047">
          <cell r="U3047">
            <v>1560</v>
          </cell>
        </row>
        <row r="3048">
          <cell r="U3048">
            <v>2100</v>
          </cell>
        </row>
        <row r="3049">
          <cell r="U3049">
            <v>10850</v>
          </cell>
        </row>
        <row r="3050">
          <cell r="U3050">
            <v>26171.87</v>
          </cell>
        </row>
        <row r="3051">
          <cell r="U3051">
            <v>56000</v>
          </cell>
        </row>
        <row r="3052">
          <cell r="U3052">
            <v>56000</v>
          </cell>
        </row>
        <row r="3053">
          <cell r="U3053">
            <v>23520</v>
          </cell>
        </row>
        <row r="3054">
          <cell r="U3054">
            <v>2800</v>
          </cell>
        </row>
        <row r="3055">
          <cell r="U3055">
            <v>29680</v>
          </cell>
        </row>
        <row r="3056">
          <cell r="U3056">
            <v>44320</v>
          </cell>
        </row>
        <row r="3057">
          <cell r="U3057">
            <v>66480</v>
          </cell>
        </row>
        <row r="3058">
          <cell r="U3058">
            <v>55400</v>
          </cell>
        </row>
        <row r="3059">
          <cell r="U3059">
            <v>55400</v>
          </cell>
        </row>
        <row r="3060">
          <cell r="U3060">
            <v>58320</v>
          </cell>
        </row>
        <row r="3061">
          <cell r="U3061">
            <v>61962.7</v>
          </cell>
        </row>
        <row r="3062">
          <cell r="U3062">
            <v>86510</v>
          </cell>
        </row>
        <row r="3063">
          <cell r="U3063">
            <v>290000</v>
          </cell>
        </row>
        <row r="3064">
          <cell r="U3064">
            <v>26600</v>
          </cell>
        </row>
        <row r="3065">
          <cell r="U3065">
            <v>148000</v>
          </cell>
        </row>
        <row r="3066">
          <cell r="U3066">
            <v>600</v>
          </cell>
        </row>
        <row r="3067">
          <cell r="U3067">
            <v>990</v>
          </cell>
        </row>
        <row r="3068">
          <cell r="U3068">
            <v>2625</v>
          </cell>
        </row>
        <row r="3069">
          <cell r="U3069">
            <v>6000</v>
          </cell>
        </row>
        <row r="3070">
          <cell r="U3070">
            <v>2325</v>
          </cell>
        </row>
        <row r="3071">
          <cell r="U3071">
            <v>1950</v>
          </cell>
        </row>
        <row r="3072">
          <cell r="U3072">
            <v>5250</v>
          </cell>
        </row>
        <row r="3073">
          <cell r="U3073">
            <v>78143.199999999997</v>
          </cell>
        </row>
        <row r="3074">
          <cell r="U3074">
            <v>3600</v>
          </cell>
        </row>
        <row r="3075">
          <cell r="U3075">
            <v>6000</v>
          </cell>
        </row>
        <row r="3076">
          <cell r="U3076">
            <v>3800</v>
          </cell>
        </row>
        <row r="3077">
          <cell r="U3077">
            <v>3000</v>
          </cell>
        </row>
        <row r="3078">
          <cell r="U3078">
            <v>780000</v>
          </cell>
        </row>
        <row r="3079">
          <cell r="U3079">
            <v>2000</v>
          </cell>
        </row>
        <row r="3080">
          <cell r="U3080">
            <v>177500</v>
          </cell>
        </row>
        <row r="3081">
          <cell r="U3081">
            <v>163200</v>
          </cell>
        </row>
        <row r="3082">
          <cell r="U3082">
            <v>3400</v>
          </cell>
        </row>
        <row r="3083">
          <cell r="U3083">
            <v>708</v>
          </cell>
        </row>
        <row r="3084">
          <cell r="U3084">
            <v>4000</v>
          </cell>
        </row>
        <row r="3085">
          <cell r="U3085">
            <v>3900</v>
          </cell>
        </row>
        <row r="3086">
          <cell r="U3086">
            <v>3900</v>
          </cell>
        </row>
        <row r="3087">
          <cell r="U3087">
            <v>3900</v>
          </cell>
        </row>
        <row r="3088">
          <cell r="U3088">
            <v>115000</v>
          </cell>
        </row>
        <row r="3089">
          <cell r="U3089">
            <v>145440</v>
          </cell>
        </row>
        <row r="3090">
          <cell r="U3090">
            <v>307521.90000000002</v>
          </cell>
        </row>
        <row r="3091">
          <cell r="U3091">
            <v>204.4</v>
          </cell>
        </row>
        <row r="3092">
          <cell r="U3092">
            <v>2160</v>
          </cell>
        </row>
        <row r="3093">
          <cell r="U3093">
            <v>8280</v>
          </cell>
        </row>
        <row r="3094">
          <cell r="U3094">
            <v>1140</v>
          </cell>
        </row>
        <row r="3095">
          <cell r="U3095">
            <v>540</v>
          </cell>
        </row>
        <row r="3096">
          <cell r="U3096">
            <v>1350</v>
          </cell>
        </row>
        <row r="3097">
          <cell r="U3097">
            <v>4050</v>
          </cell>
        </row>
        <row r="3098">
          <cell r="U3098">
            <v>4050</v>
          </cell>
        </row>
        <row r="3099">
          <cell r="U3099">
            <v>3960</v>
          </cell>
        </row>
        <row r="3100">
          <cell r="U3100">
            <v>3555</v>
          </cell>
        </row>
        <row r="3101">
          <cell r="U3101">
            <v>3420</v>
          </cell>
        </row>
        <row r="3102">
          <cell r="U3102">
            <v>4230</v>
          </cell>
        </row>
        <row r="3103">
          <cell r="U3103">
            <v>3240</v>
          </cell>
        </row>
        <row r="3104">
          <cell r="U3104">
            <v>2250</v>
          </cell>
        </row>
        <row r="3105">
          <cell r="U3105">
            <v>5670</v>
          </cell>
        </row>
        <row r="3106">
          <cell r="U3106">
            <v>3285</v>
          </cell>
        </row>
        <row r="3107">
          <cell r="U3107">
            <v>5616</v>
          </cell>
        </row>
        <row r="3108">
          <cell r="U3108">
            <v>5616</v>
          </cell>
        </row>
        <row r="3109">
          <cell r="U3109">
            <v>12500</v>
          </cell>
        </row>
        <row r="3110">
          <cell r="U3110">
            <v>85500</v>
          </cell>
        </row>
        <row r="3111">
          <cell r="U3111">
            <v>42300</v>
          </cell>
        </row>
        <row r="3112">
          <cell r="U3112">
            <v>7960</v>
          </cell>
        </row>
        <row r="3113">
          <cell r="U3113">
            <v>15920</v>
          </cell>
        </row>
        <row r="3114">
          <cell r="U3114">
            <v>4200</v>
          </cell>
        </row>
        <row r="3115">
          <cell r="U3115">
            <v>7400</v>
          </cell>
        </row>
        <row r="3116">
          <cell r="U3116">
            <v>12600</v>
          </cell>
        </row>
        <row r="3117">
          <cell r="U3117">
            <v>4800</v>
          </cell>
        </row>
        <row r="3118">
          <cell r="U3118">
            <v>2500</v>
          </cell>
        </row>
        <row r="3119">
          <cell r="U3119">
            <v>45000</v>
          </cell>
        </row>
        <row r="3120">
          <cell r="U3120">
            <v>123750</v>
          </cell>
        </row>
        <row r="3121">
          <cell r="U3121">
            <v>17670</v>
          </cell>
        </row>
        <row r="3122">
          <cell r="U3122">
            <v>92150</v>
          </cell>
        </row>
        <row r="3123">
          <cell r="U3123">
            <v>62100</v>
          </cell>
        </row>
        <row r="3124">
          <cell r="U3124">
            <v>81700</v>
          </cell>
        </row>
        <row r="3125">
          <cell r="U3125">
            <v>9880</v>
          </cell>
        </row>
        <row r="3126">
          <cell r="U3126">
            <v>5679</v>
          </cell>
        </row>
        <row r="3127">
          <cell r="U3127">
            <v>28704</v>
          </cell>
        </row>
        <row r="3128">
          <cell r="U3128">
            <v>5890</v>
          </cell>
        </row>
        <row r="3129">
          <cell r="U3129">
            <v>103410</v>
          </cell>
        </row>
        <row r="3130">
          <cell r="U3130">
            <v>485000</v>
          </cell>
        </row>
        <row r="3131">
          <cell r="U3131">
            <v>103410</v>
          </cell>
        </row>
        <row r="3132">
          <cell r="U3132">
            <v>34944</v>
          </cell>
        </row>
        <row r="3133">
          <cell r="U3133">
            <v>52416</v>
          </cell>
        </row>
        <row r="3134">
          <cell r="U3134">
            <v>5587.2</v>
          </cell>
        </row>
        <row r="3135">
          <cell r="U3135">
            <v>5000</v>
          </cell>
        </row>
        <row r="3136">
          <cell r="U3136">
            <v>5500</v>
          </cell>
        </row>
        <row r="3137">
          <cell r="U3137">
            <v>4400</v>
          </cell>
        </row>
        <row r="3138">
          <cell r="U3138">
            <v>11000</v>
          </cell>
        </row>
        <row r="3139">
          <cell r="U3139">
            <v>76764</v>
          </cell>
        </row>
        <row r="3140">
          <cell r="U3140">
            <v>527838.24</v>
          </cell>
        </row>
        <row r="3141">
          <cell r="U3141">
            <v>26457.5</v>
          </cell>
        </row>
        <row r="3142">
          <cell r="U3142">
            <v>1557.59</v>
          </cell>
        </row>
        <row r="3143">
          <cell r="U3143">
            <v>70000</v>
          </cell>
        </row>
        <row r="3144">
          <cell r="U3144">
            <v>35000</v>
          </cell>
        </row>
        <row r="3145">
          <cell r="U3145">
            <v>1833.51</v>
          </cell>
        </row>
        <row r="3146">
          <cell r="U3146">
            <v>1350</v>
          </cell>
        </row>
        <row r="3147">
          <cell r="U3147">
            <v>7560</v>
          </cell>
        </row>
        <row r="3148">
          <cell r="U3148">
            <v>943575</v>
          </cell>
        </row>
        <row r="3149">
          <cell r="U3149">
            <v>1268393</v>
          </cell>
        </row>
        <row r="3150">
          <cell r="U3150">
            <v>24500</v>
          </cell>
        </row>
        <row r="3151">
          <cell r="U3151">
            <v>51300</v>
          </cell>
        </row>
        <row r="3152">
          <cell r="U3152">
            <v>6650</v>
          </cell>
        </row>
        <row r="3153">
          <cell r="U3153">
            <v>10450</v>
          </cell>
        </row>
        <row r="3154">
          <cell r="U3154">
            <v>43320</v>
          </cell>
        </row>
        <row r="3155">
          <cell r="U3155">
            <v>103410</v>
          </cell>
        </row>
        <row r="3156">
          <cell r="U3156">
            <v>71500</v>
          </cell>
        </row>
        <row r="3157">
          <cell r="U3157">
            <v>52865</v>
          </cell>
        </row>
        <row r="3158">
          <cell r="U3158">
            <v>8930</v>
          </cell>
        </row>
        <row r="3159">
          <cell r="U3159">
            <v>47000</v>
          </cell>
        </row>
        <row r="3160">
          <cell r="U3160">
            <v>70500</v>
          </cell>
        </row>
        <row r="3161">
          <cell r="U3161">
            <v>23500</v>
          </cell>
        </row>
        <row r="3162">
          <cell r="U3162">
            <v>13167</v>
          </cell>
        </row>
        <row r="3163">
          <cell r="U3163">
            <v>5313</v>
          </cell>
        </row>
        <row r="3164">
          <cell r="U3164">
            <v>38500</v>
          </cell>
        </row>
        <row r="3165">
          <cell r="U3165">
            <v>11400</v>
          </cell>
        </row>
        <row r="3166">
          <cell r="U3166">
            <v>24700</v>
          </cell>
        </row>
        <row r="3167">
          <cell r="U3167">
            <v>57000</v>
          </cell>
        </row>
        <row r="3168">
          <cell r="U3168">
            <v>1900</v>
          </cell>
        </row>
        <row r="3169">
          <cell r="U3169">
            <v>693</v>
          </cell>
        </row>
        <row r="3170">
          <cell r="U3170">
            <v>19000</v>
          </cell>
        </row>
        <row r="3171">
          <cell r="U3171">
            <v>38000</v>
          </cell>
        </row>
        <row r="3172">
          <cell r="U3172">
            <v>32490</v>
          </cell>
        </row>
        <row r="3173">
          <cell r="U3173">
            <v>19000</v>
          </cell>
        </row>
        <row r="3174">
          <cell r="U3174">
            <v>4940</v>
          </cell>
        </row>
        <row r="3175">
          <cell r="U3175">
            <v>38000</v>
          </cell>
        </row>
        <row r="3176">
          <cell r="U3176">
            <v>570</v>
          </cell>
        </row>
        <row r="3177">
          <cell r="U3177">
            <v>38000</v>
          </cell>
        </row>
        <row r="3178">
          <cell r="U3178">
            <v>13800</v>
          </cell>
        </row>
        <row r="3179">
          <cell r="U3179">
            <v>2760</v>
          </cell>
        </row>
        <row r="3180">
          <cell r="U3180">
            <v>16560</v>
          </cell>
        </row>
        <row r="3181">
          <cell r="U3181">
            <v>13800</v>
          </cell>
        </row>
        <row r="3182">
          <cell r="U3182">
            <v>2760</v>
          </cell>
        </row>
        <row r="3183">
          <cell r="U3183">
            <v>18360</v>
          </cell>
        </row>
        <row r="3184">
          <cell r="U3184">
            <v>21420</v>
          </cell>
        </row>
        <row r="3185">
          <cell r="U3185">
            <v>12240</v>
          </cell>
        </row>
        <row r="3186">
          <cell r="U3186">
            <v>6120</v>
          </cell>
        </row>
        <row r="3187">
          <cell r="U3187">
            <v>18360</v>
          </cell>
        </row>
        <row r="3188">
          <cell r="U3188">
            <v>18360</v>
          </cell>
        </row>
        <row r="3189">
          <cell r="U3189">
            <v>18360</v>
          </cell>
        </row>
        <row r="3190">
          <cell r="U3190">
            <v>30600</v>
          </cell>
        </row>
        <row r="3191">
          <cell r="U3191">
            <v>18360</v>
          </cell>
        </row>
        <row r="3192">
          <cell r="U3192">
            <v>2475</v>
          </cell>
        </row>
        <row r="3193">
          <cell r="U3193">
            <v>5500</v>
          </cell>
        </row>
        <row r="3194">
          <cell r="U3194">
            <v>5500</v>
          </cell>
        </row>
        <row r="3195">
          <cell r="U3195">
            <v>5500</v>
          </cell>
        </row>
        <row r="3196">
          <cell r="U3196">
            <v>6875</v>
          </cell>
        </row>
        <row r="3197">
          <cell r="U3197">
            <v>5040</v>
          </cell>
        </row>
        <row r="3198">
          <cell r="U3198">
            <v>6300</v>
          </cell>
        </row>
        <row r="3199">
          <cell r="U3199">
            <v>7560</v>
          </cell>
        </row>
        <row r="3200">
          <cell r="U3200">
            <v>2520</v>
          </cell>
        </row>
        <row r="3201">
          <cell r="U3201">
            <v>504</v>
          </cell>
        </row>
        <row r="3202">
          <cell r="U3202">
            <v>7560</v>
          </cell>
        </row>
        <row r="3203">
          <cell r="U3203">
            <v>6300</v>
          </cell>
        </row>
        <row r="3204">
          <cell r="U3204">
            <v>1764</v>
          </cell>
        </row>
        <row r="3205">
          <cell r="U3205">
            <v>504</v>
          </cell>
        </row>
        <row r="3206">
          <cell r="U3206">
            <v>7560</v>
          </cell>
        </row>
        <row r="3207">
          <cell r="U3207">
            <v>3780</v>
          </cell>
        </row>
        <row r="3208">
          <cell r="U3208">
            <v>2520</v>
          </cell>
        </row>
        <row r="3209">
          <cell r="U3209">
            <v>5040</v>
          </cell>
        </row>
        <row r="3210">
          <cell r="U3210">
            <v>252</v>
          </cell>
        </row>
        <row r="3211">
          <cell r="U3211">
            <v>2520</v>
          </cell>
        </row>
        <row r="3212">
          <cell r="U3212">
            <v>2016</v>
          </cell>
        </row>
        <row r="3213">
          <cell r="U3213">
            <v>2520</v>
          </cell>
        </row>
        <row r="3214">
          <cell r="U3214">
            <v>6300</v>
          </cell>
        </row>
        <row r="3215">
          <cell r="U3215">
            <v>2520</v>
          </cell>
        </row>
        <row r="3216">
          <cell r="U3216">
            <v>7560</v>
          </cell>
        </row>
        <row r="3217">
          <cell r="U3217">
            <v>3780</v>
          </cell>
        </row>
        <row r="3218">
          <cell r="U3218">
            <v>7560</v>
          </cell>
        </row>
        <row r="3219">
          <cell r="U3219">
            <v>6048</v>
          </cell>
        </row>
        <row r="3220">
          <cell r="U3220">
            <v>5040</v>
          </cell>
        </row>
        <row r="3221">
          <cell r="U3221">
            <v>504</v>
          </cell>
        </row>
        <row r="3222">
          <cell r="U3222">
            <v>6300</v>
          </cell>
        </row>
        <row r="3223">
          <cell r="U3223">
            <v>5040</v>
          </cell>
        </row>
        <row r="3224">
          <cell r="U3224">
            <v>5040</v>
          </cell>
        </row>
        <row r="3225">
          <cell r="U3225">
            <v>7560</v>
          </cell>
        </row>
        <row r="3226">
          <cell r="U3226">
            <v>1260</v>
          </cell>
        </row>
        <row r="3227">
          <cell r="U3227">
            <v>6300</v>
          </cell>
        </row>
        <row r="3228">
          <cell r="U3228">
            <v>7560</v>
          </cell>
        </row>
        <row r="3229">
          <cell r="U3229">
            <v>5040</v>
          </cell>
        </row>
        <row r="3230">
          <cell r="U3230">
            <v>5040</v>
          </cell>
        </row>
        <row r="3231">
          <cell r="U3231">
            <v>2520</v>
          </cell>
        </row>
        <row r="3232">
          <cell r="U3232">
            <v>504</v>
          </cell>
        </row>
        <row r="3233">
          <cell r="U3233">
            <v>90</v>
          </cell>
        </row>
        <row r="3234">
          <cell r="U3234">
            <v>90</v>
          </cell>
        </row>
        <row r="3235">
          <cell r="U3235">
            <v>90</v>
          </cell>
        </row>
        <row r="3236">
          <cell r="U3236">
            <v>940</v>
          </cell>
        </row>
        <row r="3237">
          <cell r="U3237">
            <v>1000</v>
          </cell>
        </row>
        <row r="3238">
          <cell r="U3238">
            <v>500</v>
          </cell>
        </row>
        <row r="3239">
          <cell r="U3239">
            <v>500</v>
          </cell>
        </row>
        <row r="3240">
          <cell r="U3240">
            <v>1000</v>
          </cell>
        </row>
        <row r="3241">
          <cell r="U3241">
            <v>500</v>
          </cell>
        </row>
        <row r="3242">
          <cell r="U3242">
            <v>1500</v>
          </cell>
        </row>
        <row r="3243">
          <cell r="U3243">
            <v>1000</v>
          </cell>
        </row>
        <row r="3244">
          <cell r="U3244">
            <v>1000</v>
          </cell>
        </row>
        <row r="3245">
          <cell r="U3245">
            <v>500</v>
          </cell>
        </row>
        <row r="3246">
          <cell r="U3246">
            <v>1000</v>
          </cell>
        </row>
        <row r="3247">
          <cell r="U3247">
            <v>1000</v>
          </cell>
        </row>
        <row r="3248">
          <cell r="U3248">
            <v>1000</v>
          </cell>
        </row>
        <row r="3249">
          <cell r="U3249">
            <v>1000</v>
          </cell>
        </row>
        <row r="3250">
          <cell r="U3250">
            <v>232096.01</v>
          </cell>
        </row>
        <row r="3251">
          <cell r="U3251">
            <v>17033.849999999999</v>
          </cell>
        </row>
        <row r="3252">
          <cell r="U3252">
            <v>565</v>
          </cell>
        </row>
        <row r="3253">
          <cell r="U3253">
            <v>1130</v>
          </cell>
        </row>
        <row r="3254">
          <cell r="U3254">
            <v>170</v>
          </cell>
        </row>
        <row r="3255">
          <cell r="U3255">
            <v>85</v>
          </cell>
        </row>
        <row r="3256">
          <cell r="U3256">
            <v>763</v>
          </cell>
        </row>
        <row r="3257">
          <cell r="U3257">
            <v>1090</v>
          </cell>
        </row>
        <row r="3258">
          <cell r="U3258">
            <v>1090</v>
          </cell>
        </row>
        <row r="3259">
          <cell r="U3259">
            <v>763</v>
          </cell>
        </row>
        <row r="3260">
          <cell r="U3260">
            <v>1090</v>
          </cell>
        </row>
        <row r="3261">
          <cell r="U3261">
            <v>1090</v>
          </cell>
        </row>
        <row r="3262">
          <cell r="U3262">
            <v>545</v>
          </cell>
        </row>
        <row r="3263">
          <cell r="U3263">
            <v>820</v>
          </cell>
        </row>
        <row r="3264">
          <cell r="U3264">
            <v>820</v>
          </cell>
        </row>
        <row r="3265">
          <cell r="U3265">
            <v>1230</v>
          </cell>
        </row>
        <row r="3266">
          <cell r="U3266">
            <v>410</v>
          </cell>
        </row>
        <row r="3267">
          <cell r="U3267">
            <v>410</v>
          </cell>
        </row>
        <row r="3268">
          <cell r="U3268">
            <v>820</v>
          </cell>
        </row>
        <row r="3269">
          <cell r="U3269">
            <v>3200</v>
          </cell>
        </row>
        <row r="3270">
          <cell r="U3270">
            <v>1600</v>
          </cell>
        </row>
        <row r="3271">
          <cell r="U3271">
            <v>320</v>
          </cell>
        </row>
        <row r="3272">
          <cell r="U3272">
            <v>480</v>
          </cell>
        </row>
        <row r="3273">
          <cell r="U3273">
            <v>480</v>
          </cell>
        </row>
        <row r="3274">
          <cell r="U3274">
            <v>320</v>
          </cell>
        </row>
        <row r="3275">
          <cell r="U3275">
            <v>480</v>
          </cell>
        </row>
        <row r="3276">
          <cell r="U3276">
            <v>480</v>
          </cell>
        </row>
        <row r="3277">
          <cell r="U3277">
            <v>192</v>
          </cell>
        </row>
        <row r="3278">
          <cell r="U3278">
            <v>480</v>
          </cell>
        </row>
        <row r="3279">
          <cell r="U3279">
            <v>480</v>
          </cell>
        </row>
        <row r="3280">
          <cell r="U3280">
            <v>480</v>
          </cell>
        </row>
        <row r="3281">
          <cell r="U3281">
            <v>480</v>
          </cell>
        </row>
        <row r="3282">
          <cell r="U3282">
            <v>480</v>
          </cell>
        </row>
        <row r="3283">
          <cell r="U3283">
            <v>480</v>
          </cell>
        </row>
        <row r="3284">
          <cell r="U3284">
            <v>480</v>
          </cell>
        </row>
        <row r="3285">
          <cell r="U3285">
            <v>150</v>
          </cell>
        </row>
        <row r="3286">
          <cell r="U3286">
            <v>90</v>
          </cell>
        </row>
        <row r="3287">
          <cell r="U3287">
            <v>300</v>
          </cell>
        </row>
        <row r="3288">
          <cell r="U3288">
            <v>75</v>
          </cell>
        </row>
        <row r="3289">
          <cell r="U3289">
            <v>300</v>
          </cell>
        </row>
        <row r="3290">
          <cell r="U3290">
            <v>75</v>
          </cell>
        </row>
        <row r="3291">
          <cell r="U3291">
            <v>145</v>
          </cell>
        </row>
        <row r="3292">
          <cell r="U3292">
            <v>72.5</v>
          </cell>
        </row>
        <row r="3293">
          <cell r="U3293">
            <v>145</v>
          </cell>
        </row>
        <row r="3294">
          <cell r="U3294">
            <v>72.5</v>
          </cell>
        </row>
        <row r="3295">
          <cell r="U3295">
            <v>145</v>
          </cell>
        </row>
        <row r="3296">
          <cell r="U3296">
            <v>145</v>
          </cell>
        </row>
        <row r="3297">
          <cell r="U3297">
            <v>82.5</v>
          </cell>
        </row>
        <row r="3298">
          <cell r="U3298">
            <v>82.5</v>
          </cell>
        </row>
        <row r="3299">
          <cell r="U3299">
            <v>99</v>
          </cell>
        </row>
        <row r="3300">
          <cell r="U3300">
            <v>82.5</v>
          </cell>
        </row>
        <row r="3301">
          <cell r="U3301">
            <v>33</v>
          </cell>
        </row>
        <row r="3302">
          <cell r="U3302">
            <v>150</v>
          </cell>
        </row>
        <row r="3303">
          <cell r="U3303">
            <v>750</v>
          </cell>
        </row>
        <row r="3304">
          <cell r="U3304">
            <v>150</v>
          </cell>
        </row>
        <row r="3305">
          <cell r="U3305">
            <v>180</v>
          </cell>
        </row>
        <row r="3306">
          <cell r="U3306">
            <v>180</v>
          </cell>
        </row>
        <row r="3307">
          <cell r="U3307">
            <v>450</v>
          </cell>
        </row>
        <row r="3308">
          <cell r="U3308">
            <v>180</v>
          </cell>
        </row>
        <row r="3309">
          <cell r="U3309">
            <v>450</v>
          </cell>
        </row>
        <row r="3310">
          <cell r="U3310">
            <v>900</v>
          </cell>
        </row>
        <row r="3311">
          <cell r="U3311">
            <v>300</v>
          </cell>
        </row>
        <row r="3312">
          <cell r="U3312">
            <v>750</v>
          </cell>
        </row>
        <row r="3313">
          <cell r="U3313">
            <v>250</v>
          </cell>
        </row>
        <row r="3314">
          <cell r="U3314">
            <v>900</v>
          </cell>
        </row>
        <row r="3315">
          <cell r="U3315">
            <v>360</v>
          </cell>
        </row>
        <row r="3316">
          <cell r="U3316">
            <v>900</v>
          </cell>
        </row>
        <row r="3317">
          <cell r="U3317">
            <v>900</v>
          </cell>
        </row>
        <row r="3318">
          <cell r="U3318">
            <v>360</v>
          </cell>
        </row>
        <row r="3319">
          <cell r="U3319">
            <v>900</v>
          </cell>
        </row>
        <row r="3320">
          <cell r="U3320">
            <v>900</v>
          </cell>
        </row>
        <row r="3321">
          <cell r="U3321">
            <v>360</v>
          </cell>
        </row>
        <row r="3322">
          <cell r="U3322">
            <v>900</v>
          </cell>
        </row>
        <row r="3323">
          <cell r="U3323">
            <v>300</v>
          </cell>
        </row>
        <row r="3324">
          <cell r="U3324">
            <v>900</v>
          </cell>
        </row>
        <row r="3325">
          <cell r="U3325">
            <v>360</v>
          </cell>
        </row>
        <row r="3326">
          <cell r="U3326">
            <v>900</v>
          </cell>
        </row>
        <row r="3327">
          <cell r="U3327">
            <v>360</v>
          </cell>
        </row>
        <row r="3328">
          <cell r="U3328">
            <v>900</v>
          </cell>
        </row>
        <row r="3329">
          <cell r="U3329">
            <v>600</v>
          </cell>
        </row>
        <row r="3330">
          <cell r="U3330">
            <v>360</v>
          </cell>
        </row>
        <row r="3331">
          <cell r="U3331">
            <v>570</v>
          </cell>
        </row>
        <row r="3332">
          <cell r="U3332">
            <v>570</v>
          </cell>
        </row>
        <row r="3333">
          <cell r="U3333">
            <v>570</v>
          </cell>
        </row>
        <row r="3334">
          <cell r="U3334">
            <v>570</v>
          </cell>
        </row>
        <row r="3335">
          <cell r="U3335">
            <v>570</v>
          </cell>
        </row>
        <row r="3336">
          <cell r="U3336">
            <v>768</v>
          </cell>
        </row>
        <row r="3337">
          <cell r="U3337">
            <v>768</v>
          </cell>
        </row>
        <row r="3338">
          <cell r="U3338">
            <v>768</v>
          </cell>
        </row>
        <row r="3339">
          <cell r="U3339">
            <v>768</v>
          </cell>
        </row>
        <row r="3340">
          <cell r="U3340">
            <v>768</v>
          </cell>
        </row>
        <row r="3341">
          <cell r="U3341">
            <v>768</v>
          </cell>
        </row>
        <row r="3342">
          <cell r="U3342">
            <v>768</v>
          </cell>
        </row>
        <row r="3343">
          <cell r="U3343">
            <v>400</v>
          </cell>
        </row>
        <row r="3344">
          <cell r="U3344">
            <v>400</v>
          </cell>
        </row>
        <row r="3345">
          <cell r="U3345">
            <v>400</v>
          </cell>
        </row>
        <row r="3346">
          <cell r="U3346">
            <v>400</v>
          </cell>
        </row>
        <row r="3347">
          <cell r="U3347">
            <v>28</v>
          </cell>
        </row>
        <row r="3348">
          <cell r="U3348">
            <v>30</v>
          </cell>
        </row>
        <row r="3349">
          <cell r="U3349">
            <v>30</v>
          </cell>
        </row>
        <row r="3350">
          <cell r="U3350">
            <v>150</v>
          </cell>
        </row>
        <row r="3351">
          <cell r="U3351">
            <v>30</v>
          </cell>
        </row>
        <row r="3352">
          <cell r="U3352">
            <v>30</v>
          </cell>
        </row>
        <row r="3353">
          <cell r="U3353">
            <v>30</v>
          </cell>
        </row>
        <row r="3354">
          <cell r="U3354">
            <v>30</v>
          </cell>
        </row>
        <row r="3355">
          <cell r="U3355">
            <v>219</v>
          </cell>
        </row>
        <row r="3356">
          <cell r="U3356">
            <v>146</v>
          </cell>
        </row>
        <row r="3357">
          <cell r="U3357">
            <v>4640</v>
          </cell>
        </row>
        <row r="3358">
          <cell r="U3358">
            <v>4640</v>
          </cell>
        </row>
        <row r="3359">
          <cell r="U3359">
            <v>6380</v>
          </cell>
        </row>
        <row r="3360">
          <cell r="U3360">
            <v>3480</v>
          </cell>
        </row>
        <row r="3361">
          <cell r="U3361">
            <v>3480</v>
          </cell>
        </row>
        <row r="3362">
          <cell r="U3362">
            <v>650</v>
          </cell>
        </row>
        <row r="3363">
          <cell r="U3363">
            <v>975</v>
          </cell>
        </row>
        <row r="3364">
          <cell r="U3364">
            <v>3200</v>
          </cell>
        </row>
        <row r="3365">
          <cell r="U3365">
            <v>3600</v>
          </cell>
        </row>
        <row r="3366">
          <cell r="U3366">
            <v>1800</v>
          </cell>
        </row>
        <row r="3367">
          <cell r="U3367">
            <v>3600</v>
          </cell>
        </row>
        <row r="3368">
          <cell r="U3368">
            <v>3600</v>
          </cell>
        </row>
        <row r="3369">
          <cell r="U3369">
            <v>3600</v>
          </cell>
        </row>
        <row r="3370">
          <cell r="U3370">
            <v>3600</v>
          </cell>
        </row>
        <row r="3371">
          <cell r="U3371">
            <v>3600</v>
          </cell>
        </row>
        <row r="3372">
          <cell r="U3372">
            <v>3600</v>
          </cell>
        </row>
        <row r="3373">
          <cell r="U3373">
            <v>1800</v>
          </cell>
        </row>
        <row r="3374">
          <cell r="U3374">
            <v>5400</v>
          </cell>
        </row>
        <row r="3375">
          <cell r="U3375">
            <v>2550</v>
          </cell>
        </row>
        <row r="3376">
          <cell r="U3376">
            <v>2700</v>
          </cell>
        </row>
        <row r="3377">
          <cell r="U3377">
            <v>2700</v>
          </cell>
        </row>
        <row r="3378">
          <cell r="U3378">
            <v>2700</v>
          </cell>
        </row>
        <row r="3379">
          <cell r="U3379">
            <v>1800</v>
          </cell>
        </row>
        <row r="3380">
          <cell r="U3380">
            <v>2700</v>
          </cell>
        </row>
        <row r="3381">
          <cell r="U3381">
            <v>2700</v>
          </cell>
        </row>
        <row r="3382">
          <cell r="U3382">
            <v>2700</v>
          </cell>
        </row>
        <row r="3383">
          <cell r="U3383">
            <v>2700</v>
          </cell>
        </row>
        <row r="3384">
          <cell r="U3384">
            <v>180</v>
          </cell>
        </row>
        <row r="3385">
          <cell r="U3385">
            <v>2700</v>
          </cell>
        </row>
        <row r="3386">
          <cell r="U3386">
            <v>180</v>
          </cell>
        </row>
        <row r="3387">
          <cell r="U3387">
            <v>1160</v>
          </cell>
        </row>
        <row r="3388">
          <cell r="U3388">
            <v>580</v>
          </cell>
        </row>
        <row r="3389">
          <cell r="U3389">
            <v>1950</v>
          </cell>
        </row>
        <row r="3390">
          <cell r="U3390">
            <v>1300</v>
          </cell>
        </row>
        <row r="3391">
          <cell r="U3391">
            <v>1300</v>
          </cell>
        </row>
        <row r="3392">
          <cell r="U3392">
            <v>1300</v>
          </cell>
        </row>
        <row r="3393">
          <cell r="U3393">
            <v>650</v>
          </cell>
        </row>
        <row r="3394">
          <cell r="U3394">
            <v>1300</v>
          </cell>
        </row>
        <row r="3395">
          <cell r="U3395">
            <v>1625</v>
          </cell>
        </row>
        <row r="3396">
          <cell r="U3396">
            <v>1625</v>
          </cell>
        </row>
        <row r="3397">
          <cell r="U3397">
            <v>1300</v>
          </cell>
        </row>
        <row r="3398">
          <cell r="U3398">
            <v>1300</v>
          </cell>
        </row>
        <row r="3399">
          <cell r="U3399">
            <v>1300</v>
          </cell>
        </row>
        <row r="3400">
          <cell r="U3400">
            <v>3250</v>
          </cell>
        </row>
        <row r="3401">
          <cell r="U3401">
            <v>780</v>
          </cell>
        </row>
        <row r="3402">
          <cell r="U3402">
            <v>850</v>
          </cell>
        </row>
        <row r="3403">
          <cell r="U3403">
            <v>850</v>
          </cell>
        </row>
        <row r="3404">
          <cell r="U3404">
            <v>850</v>
          </cell>
        </row>
        <row r="3405">
          <cell r="U3405">
            <v>850</v>
          </cell>
        </row>
        <row r="3406">
          <cell r="U3406">
            <v>850</v>
          </cell>
        </row>
        <row r="3407">
          <cell r="U3407">
            <v>850</v>
          </cell>
        </row>
        <row r="3408">
          <cell r="U3408">
            <v>850</v>
          </cell>
        </row>
        <row r="3409">
          <cell r="U3409">
            <v>850</v>
          </cell>
        </row>
        <row r="3410">
          <cell r="U3410">
            <v>850</v>
          </cell>
        </row>
        <row r="3411">
          <cell r="U3411">
            <v>768</v>
          </cell>
        </row>
        <row r="3412">
          <cell r="U3412">
            <v>320</v>
          </cell>
        </row>
        <row r="3413">
          <cell r="U3413">
            <v>640</v>
          </cell>
        </row>
        <row r="3414">
          <cell r="U3414">
            <v>640</v>
          </cell>
        </row>
        <row r="3415">
          <cell r="U3415">
            <v>960</v>
          </cell>
        </row>
        <row r="3416">
          <cell r="U3416">
            <v>960</v>
          </cell>
        </row>
        <row r="3417">
          <cell r="U3417">
            <v>960</v>
          </cell>
        </row>
        <row r="3418">
          <cell r="U3418">
            <v>960</v>
          </cell>
        </row>
        <row r="3419">
          <cell r="U3419">
            <v>960</v>
          </cell>
        </row>
        <row r="3420">
          <cell r="U3420">
            <v>960</v>
          </cell>
        </row>
        <row r="3421">
          <cell r="U3421">
            <v>960</v>
          </cell>
        </row>
        <row r="3422">
          <cell r="U3422">
            <v>960</v>
          </cell>
        </row>
        <row r="3423">
          <cell r="U3423">
            <v>960</v>
          </cell>
        </row>
        <row r="3424">
          <cell r="U3424">
            <v>3780</v>
          </cell>
        </row>
        <row r="3425">
          <cell r="U3425">
            <v>4320</v>
          </cell>
        </row>
        <row r="3426">
          <cell r="U3426">
            <v>4320</v>
          </cell>
        </row>
        <row r="3427">
          <cell r="U3427">
            <v>4320</v>
          </cell>
        </row>
        <row r="3428">
          <cell r="U3428">
            <v>4320</v>
          </cell>
        </row>
        <row r="3429">
          <cell r="U3429">
            <v>4320</v>
          </cell>
        </row>
        <row r="3430">
          <cell r="U3430">
            <v>4320</v>
          </cell>
        </row>
        <row r="3431">
          <cell r="U3431">
            <v>4320</v>
          </cell>
        </row>
        <row r="3432">
          <cell r="U3432">
            <v>4320</v>
          </cell>
        </row>
        <row r="3433">
          <cell r="U3433">
            <v>4320</v>
          </cell>
        </row>
        <row r="3434">
          <cell r="U3434">
            <v>5400</v>
          </cell>
        </row>
        <row r="3435">
          <cell r="U3435">
            <v>540</v>
          </cell>
        </row>
        <row r="3436">
          <cell r="U3436">
            <v>540</v>
          </cell>
        </row>
        <row r="3437">
          <cell r="U3437">
            <v>540</v>
          </cell>
        </row>
        <row r="3438">
          <cell r="U3438">
            <v>540</v>
          </cell>
        </row>
        <row r="3439">
          <cell r="U3439">
            <v>540</v>
          </cell>
        </row>
        <row r="3440">
          <cell r="U3440">
            <v>540</v>
          </cell>
        </row>
        <row r="3441">
          <cell r="U3441">
            <v>540</v>
          </cell>
        </row>
        <row r="3442">
          <cell r="U3442">
            <v>540</v>
          </cell>
        </row>
        <row r="3443">
          <cell r="U3443">
            <v>540</v>
          </cell>
        </row>
        <row r="3444">
          <cell r="U3444">
            <v>540</v>
          </cell>
        </row>
        <row r="3445">
          <cell r="U3445">
            <v>540</v>
          </cell>
        </row>
        <row r="3446">
          <cell r="U3446">
            <v>600</v>
          </cell>
        </row>
        <row r="3447">
          <cell r="U3447">
            <v>600</v>
          </cell>
        </row>
        <row r="3448">
          <cell r="U3448">
            <v>720</v>
          </cell>
        </row>
        <row r="3449">
          <cell r="U3449">
            <v>720</v>
          </cell>
        </row>
        <row r="3450">
          <cell r="U3450">
            <v>720</v>
          </cell>
        </row>
        <row r="3451">
          <cell r="U3451">
            <v>720</v>
          </cell>
        </row>
        <row r="3452">
          <cell r="U3452">
            <v>720</v>
          </cell>
        </row>
        <row r="3453">
          <cell r="U3453">
            <v>720</v>
          </cell>
        </row>
        <row r="3454">
          <cell r="U3454">
            <v>600</v>
          </cell>
        </row>
        <row r="3455">
          <cell r="U3455">
            <v>720</v>
          </cell>
        </row>
        <row r="3456">
          <cell r="U3456">
            <v>720</v>
          </cell>
        </row>
        <row r="3457">
          <cell r="U3457">
            <v>720</v>
          </cell>
        </row>
        <row r="3458">
          <cell r="U3458">
            <v>1200</v>
          </cell>
        </row>
        <row r="3459">
          <cell r="U3459">
            <v>720</v>
          </cell>
        </row>
        <row r="3460">
          <cell r="U3460">
            <v>1770</v>
          </cell>
        </row>
        <row r="3461">
          <cell r="U3461">
            <v>1180</v>
          </cell>
        </row>
        <row r="3462">
          <cell r="U3462">
            <v>1860</v>
          </cell>
        </row>
        <row r="3463">
          <cell r="U3463">
            <v>720</v>
          </cell>
        </row>
        <row r="3464">
          <cell r="U3464">
            <v>1860</v>
          </cell>
        </row>
        <row r="3465">
          <cell r="U3465">
            <v>720</v>
          </cell>
        </row>
        <row r="3466">
          <cell r="U3466">
            <v>720</v>
          </cell>
        </row>
        <row r="3467">
          <cell r="U3467">
            <v>1860</v>
          </cell>
        </row>
        <row r="3468">
          <cell r="U3468">
            <v>360</v>
          </cell>
        </row>
        <row r="3469">
          <cell r="U3469">
            <v>930</v>
          </cell>
        </row>
        <row r="3470">
          <cell r="U3470">
            <v>1240</v>
          </cell>
        </row>
        <row r="3471">
          <cell r="U3471">
            <v>720</v>
          </cell>
        </row>
        <row r="3472">
          <cell r="U3472">
            <v>720</v>
          </cell>
        </row>
        <row r="3473">
          <cell r="U3473">
            <v>1240</v>
          </cell>
        </row>
        <row r="3474">
          <cell r="U3474">
            <v>1240</v>
          </cell>
        </row>
        <row r="3475">
          <cell r="U3475">
            <v>620</v>
          </cell>
        </row>
        <row r="3476">
          <cell r="U3476">
            <v>1240</v>
          </cell>
        </row>
        <row r="3477">
          <cell r="U3477">
            <v>1240</v>
          </cell>
        </row>
        <row r="3478">
          <cell r="U3478">
            <v>720</v>
          </cell>
        </row>
        <row r="3479">
          <cell r="U3479">
            <v>720</v>
          </cell>
        </row>
        <row r="3480">
          <cell r="U3480">
            <v>1240</v>
          </cell>
        </row>
        <row r="3481">
          <cell r="U3481">
            <v>1440</v>
          </cell>
        </row>
        <row r="3482">
          <cell r="U3482">
            <v>1860</v>
          </cell>
        </row>
        <row r="3483">
          <cell r="U3483">
            <v>1080</v>
          </cell>
        </row>
        <row r="3484">
          <cell r="U3484">
            <v>1440</v>
          </cell>
        </row>
        <row r="3485">
          <cell r="U3485">
            <v>1440</v>
          </cell>
        </row>
        <row r="3486">
          <cell r="U3486">
            <v>1440</v>
          </cell>
        </row>
        <row r="3487">
          <cell r="U3487">
            <v>1440</v>
          </cell>
        </row>
        <row r="3488">
          <cell r="U3488">
            <v>1440</v>
          </cell>
        </row>
        <row r="3489">
          <cell r="U3489">
            <v>1440</v>
          </cell>
        </row>
        <row r="3490">
          <cell r="U3490">
            <v>1440</v>
          </cell>
        </row>
        <row r="3491">
          <cell r="U3491">
            <v>1440</v>
          </cell>
        </row>
        <row r="3492">
          <cell r="U3492">
            <v>1440</v>
          </cell>
        </row>
        <row r="3493">
          <cell r="U3493">
            <v>1440</v>
          </cell>
        </row>
        <row r="3494">
          <cell r="U3494">
            <v>250</v>
          </cell>
        </row>
        <row r="3495">
          <cell r="U3495">
            <v>300</v>
          </cell>
        </row>
        <row r="3496">
          <cell r="U3496">
            <v>300</v>
          </cell>
        </row>
        <row r="3497">
          <cell r="U3497">
            <v>300</v>
          </cell>
        </row>
        <row r="3498">
          <cell r="U3498">
            <v>600</v>
          </cell>
        </row>
        <row r="3499">
          <cell r="U3499">
            <v>600</v>
          </cell>
        </row>
        <row r="3500">
          <cell r="U3500">
            <v>600</v>
          </cell>
        </row>
        <row r="3501">
          <cell r="U3501">
            <v>600</v>
          </cell>
        </row>
        <row r="3502">
          <cell r="U3502">
            <v>600</v>
          </cell>
        </row>
        <row r="3503">
          <cell r="U3503">
            <v>5100</v>
          </cell>
        </row>
        <row r="3504">
          <cell r="U3504">
            <v>340</v>
          </cell>
        </row>
        <row r="3505">
          <cell r="U3505">
            <v>3400</v>
          </cell>
        </row>
        <row r="3506">
          <cell r="U3506">
            <v>1020</v>
          </cell>
        </row>
        <row r="3507">
          <cell r="U3507">
            <v>5100</v>
          </cell>
        </row>
        <row r="3508">
          <cell r="U3508">
            <v>5100</v>
          </cell>
        </row>
        <row r="3509">
          <cell r="U3509">
            <v>5100</v>
          </cell>
        </row>
        <row r="3510">
          <cell r="U3510">
            <v>1020</v>
          </cell>
        </row>
        <row r="3511">
          <cell r="U3511">
            <v>272</v>
          </cell>
        </row>
        <row r="3512">
          <cell r="U3512">
            <v>5100</v>
          </cell>
        </row>
        <row r="3513">
          <cell r="U3513">
            <v>5100</v>
          </cell>
        </row>
        <row r="3514">
          <cell r="U3514">
            <v>272</v>
          </cell>
        </row>
        <row r="3515">
          <cell r="U3515">
            <v>5100</v>
          </cell>
        </row>
        <row r="3516">
          <cell r="U3516">
            <v>5100</v>
          </cell>
        </row>
        <row r="3517">
          <cell r="U3517">
            <v>272</v>
          </cell>
        </row>
        <row r="3518">
          <cell r="U3518">
            <v>5100</v>
          </cell>
        </row>
        <row r="3519">
          <cell r="U3519">
            <v>6800</v>
          </cell>
        </row>
        <row r="3520">
          <cell r="U3520">
            <v>272</v>
          </cell>
        </row>
        <row r="3521">
          <cell r="U3521">
            <v>1560</v>
          </cell>
        </row>
        <row r="3522">
          <cell r="U3522">
            <v>360</v>
          </cell>
        </row>
        <row r="3523">
          <cell r="U3523">
            <v>60</v>
          </cell>
        </row>
        <row r="3524">
          <cell r="U3524">
            <v>408</v>
          </cell>
        </row>
        <row r="3525">
          <cell r="U3525">
            <v>1560</v>
          </cell>
        </row>
        <row r="3526">
          <cell r="U3526">
            <v>408</v>
          </cell>
        </row>
        <row r="3527">
          <cell r="U3527">
            <v>240</v>
          </cell>
        </row>
        <row r="3528">
          <cell r="U3528">
            <v>408</v>
          </cell>
        </row>
        <row r="3529">
          <cell r="U3529">
            <v>1560</v>
          </cell>
        </row>
        <row r="3530">
          <cell r="U3530">
            <v>408</v>
          </cell>
        </row>
        <row r="3531">
          <cell r="U3531">
            <v>1560</v>
          </cell>
        </row>
        <row r="3532">
          <cell r="U3532">
            <v>408</v>
          </cell>
        </row>
        <row r="3533">
          <cell r="U3533">
            <v>408</v>
          </cell>
        </row>
        <row r="3534">
          <cell r="U3534">
            <v>120</v>
          </cell>
        </row>
        <row r="3535">
          <cell r="U3535">
            <v>1560</v>
          </cell>
        </row>
        <row r="3536">
          <cell r="U3536">
            <v>408</v>
          </cell>
        </row>
        <row r="3537">
          <cell r="U3537">
            <v>408</v>
          </cell>
        </row>
        <row r="3538">
          <cell r="U3538">
            <v>1560</v>
          </cell>
        </row>
        <row r="3539">
          <cell r="U3539">
            <v>408</v>
          </cell>
        </row>
        <row r="3540">
          <cell r="U3540">
            <v>1560</v>
          </cell>
        </row>
        <row r="3541">
          <cell r="U3541">
            <v>1200</v>
          </cell>
        </row>
        <row r="3542">
          <cell r="U3542">
            <v>4200</v>
          </cell>
        </row>
        <row r="3543">
          <cell r="U3543">
            <v>2100</v>
          </cell>
        </row>
        <row r="3544">
          <cell r="U3544">
            <v>4500</v>
          </cell>
        </row>
        <row r="3545">
          <cell r="U3545">
            <v>4500</v>
          </cell>
        </row>
        <row r="3546">
          <cell r="U3546">
            <v>1800</v>
          </cell>
        </row>
        <row r="3547">
          <cell r="U3547">
            <v>4500</v>
          </cell>
        </row>
        <row r="3548">
          <cell r="U3548">
            <v>4500</v>
          </cell>
        </row>
        <row r="3549">
          <cell r="U3549">
            <v>1350</v>
          </cell>
        </row>
        <row r="3550">
          <cell r="U3550">
            <v>4500</v>
          </cell>
        </row>
        <row r="3551">
          <cell r="U3551">
            <v>4500</v>
          </cell>
        </row>
        <row r="3552">
          <cell r="U3552">
            <v>4050</v>
          </cell>
        </row>
        <row r="3553">
          <cell r="U3553">
            <v>4500</v>
          </cell>
        </row>
        <row r="3554">
          <cell r="U3554">
            <v>4500</v>
          </cell>
        </row>
        <row r="3555">
          <cell r="U3555">
            <v>4500</v>
          </cell>
        </row>
        <row r="3556">
          <cell r="U3556">
            <v>1560</v>
          </cell>
        </row>
        <row r="3557">
          <cell r="U3557">
            <v>390</v>
          </cell>
        </row>
        <row r="3558">
          <cell r="U3558">
            <v>1560</v>
          </cell>
        </row>
        <row r="3559">
          <cell r="U3559">
            <v>1560</v>
          </cell>
        </row>
        <row r="3560">
          <cell r="U3560">
            <v>390</v>
          </cell>
        </row>
        <row r="3561">
          <cell r="U3561">
            <v>1560</v>
          </cell>
        </row>
        <row r="3562">
          <cell r="U3562">
            <v>1560</v>
          </cell>
        </row>
        <row r="3563">
          <cell r="U3563">
            <v>390</v>
          </cell>
        </row>
        <row r="3564">
          <cell r="U3564">
            <v>1560</v>
          </cell>
        </row>
        <row r="3565">
          <cell r="U3565">
            <v>650</v>
          </cell>
        </row>
        <row r="3566">
          <cell r="U3566">
            <v>1560</v>
          </cell>
        </row>
        <row r="3567">
          <cell r="U3567">
            <v>390</v>
          </cell>
        </row>
        <row r="3568">
          <cell r="U3568">
            <v>1560</v>
          </cell>
        </row>
        <row r="3569">
          <cell r="U3569">
            <v>390</v>
          </cell>
        </row>
        <row r="3570">
          <cell r="U3570">
            <v>1560</v>
          </cell>
        </row>
        <row r="3571">
          <cell r="U3571">
            <v>1560</v>
          </cell>
        </row>
        <row r="3572">
          <cell r="U3572">
            <v>390</v>
          </cell>
        </row>
        <row r="3573">
          <cell r="U3573">
            <v>420</v>
          </cell>
        </row>
        <row r="3574">
          <cell r="U3574">
            <v>315</v>
          </cell>
        </row>
        <row r="3575">
          <cell r="U3575">
            <v>420</v>
          </cell>
        </row>
        <row r="3576">
          <cell r="U3576">
            <v>315</v>
          </cell>
        </row>
        <row r="3577">
          <cell r="U3577">
            <v>315</v>
          </cell>
        </row>
        <row r="3578">
          <cell r="U3578">
            <v>420</v>
          </cell>
        </row>
        <row r="3579">
          <cell r="U3579">
            <v>315</v>
          </cell>
        </row>
        <row r="3580">
          <cell r="U3580">
            <v>420</v>
          </cell>
        </row>
        <row r="3581">
          <cell r="U3581">
            <v>315</v>
          </cell>
        </row>
        <row r="3582">
          <cell r="U3582">
            <v>315</v>
          </cell>
        </row>
        <row r="3583">
          <cell r="U3583">
            <v>700</v>
          </cell>
        </row>
        <row r="3584">
          <cell r="U3584">
            <v>420</v>
          </cell>
        </row>
        <row r="3585">
          <cell r="U3585">
            <v>315</v>
          </cell>
        </row>
        <row r="3586">
          <cell r="U3586">
            <v>315</v>
          </cell>
        </row>
        <row r="3587">
          <cell r="U3587">
            <v>420</v>
          </cell>
        </row>
        <row r="3588">
          <cell r="U3588">
            <v>315</v>
          </cell>
        </row>
        <row r="3589">
          <cell r="U3589">
            <v>420</v>
          </cell>
        </row>
        <row r="3590">
          <cell r="U3590">
            <v>1050</v>
          </cell>
        </row>
        <row r="3591">
          <cell r="U3591">
            <v>360</v>
          </cell>
        </row>
        <row r="3592">
          <cell r="U3592">
            <v>720</v>
          </cell>
        </row>
        <row r="3593">
          <cell r="U3593">
            <v>680</v>
          </cell>
        </row>
        <row r="3594">
          <cell r="U3594">
            <v>1360</v>
          </cell>
        </row>
        <row r="3595">
          <cell r="U3595">
            <v>680</v>
          </cell>
        </row>
        <row r="3596">
          <cell r="U3596">
            <v>680</v>
          </cell>
        </row>
        <row r="3597">
          <cell r="U3597">
            <v>680</v>
          </cell>
        </row>
        <row r="3598">
          <cell r="U3598">
            <v>1360</v>
          </cell>
        </row>
        <row r="3599">
          <cell r="U3599">
            <v>1360</v>
          </cell>
        </row>
        <row r="3600">
          <cell r="U3600">
            <v>1360</v>
          </cell>
        </row>
        <row r="3601">
          <cell r="U3601">
            <v>1700</v>
          </cell>
        </row>
        <row r="3602">
          <cell r="U3602">
            <v>1360</v>
          </cell>
        </row>
        <row r="3603">
          <cell r="U3603">
            <v>1360</v>
          </cell>
        </row>
        <row r="3604">
          <cell r="U3604">
            <v>1360</v>
          </cell>
        </row>
        <row r="3605">
          <cell r="U3605">
            <v>680</v>
          </cell>
        </row>
        <row r="3606">
          <cell r="U3606">
            <v>1020</v>
          </cell>
        </row>
        <row r="3607">
          <cell r="U3607">
            <v>1200</v>
          </cell>
        </row>
        <row r="3608">
          <cell r="U3608">
            <v>1200</v>
          </cell>
        </row>
        <row r="3609">
          <cell r="U3609">
            <v>1200</v>
          </cell>
        </row>
        <row r="3610">
          <cell r="U3610">
            <v>1400</v>
          </cell>
        </row>
        <row r="3611">
          <cell r="U3611">
            <v>1400</v>
          </cell>
        </row>
        <row r="3612">
          <cell r="U3612">
            <v>1500</v>
          </cell>
        </row>
        <row r="3613">
          <cell r="U3613">
            <v>1500</v>
          </cell>
        </row>
        <row r="3614">
          <cell r="U3614">
            <v>1500</v>
          </cell>
        </row>
        <row r="3615">
          <cell r="U3615">
            <v>1500</v>
          </cell>
        </row>
        <row r="3616">
          <cell r="U3616">
            <v>3500</v>
          </cell>
        </row>
        <row r="3617">
          <cell r="U3617">
            <v>3500</v>
          </cell>
        </row>
        <row r="3618">
          <cell r="U3618">
            <v>3500</v>
          </cell>
        </row>
        <row r="3619">
          <cell r="U3619">
            <v>3500</v>
          </cell>
        </row>
        <row r="3620">
          <cell r="U3620">
            <v>3500</v>
          </cell>
        </row>
        <row r="3621">
          <cell r="U3621">
            <v>3500</v>
          </cell>
        </row>
        <row r="3622">
          <cell r="U3622">
            <v>3500</v>
          </cell>
        </row>
        <row r="3623">
          <cell r="U3623">
            <v>3500</v>
          </cell>
        </row>
        <row r="3624">
          <cell r="U3624">
            <v>3500</v>
          </cell>
        </row>
        <row r="3625">
          <cell r="U3625">
            <v>3500</v>
          </cell>
        </row>
        <row r="3626">
          <cell r="U3626">
            <v>1450</v>
          </cell>
        </row>
        <row r="3627">
          <cell r="U3627">
            <v>1450</v>
          </cell>
        </row>
        <row r="3628">
          <cell r="U3628">
            <v>1450</v>
          </cell>
        </row>
        <row r="3629">
          <cell r="U3629">
            <v>1450</v>
          </cell>
        </row>
        <row r="3630">
          <cell r="U3630">
            <v>1450</v>
          </cell>
        </row>
        <row r="3631">
          <cell r="U3631">
            <v>1450</v>
          </cell>
        </row>
        <row r="3632">
          <cell r="U3632">
            <v>1450</v>
          </cell>
        </row>
        <row r="3633">
          <cell r="U3633">
            <v>1450</v>
          </cell>
        </row>
        <row r="3634">
          <cell r="U3634">
            <v>2175</v>
          </cell>
        </row>
        <row r="3635">
          <cell r="U3635">
            <v>2175</v>
          </cell>
        </row>
        <row r="3636">
          <cell r="U3636">
            <v>1450</v>
          </cell>
        </row>
        <row r="3637">
          <cell r="U3637">
            <v>72</v>
          </cell>
        </row>
        <row r="3638">
          <cell r="U3638">
            <v>216</v>
          </cell>
        </row>
        <row r="3639">
          <cell r="U3639">
            <v>36</v>
          </cell>
        </row>
        <row r="3640">
          <cell r="U3640">
            <v>216</v>
          </cell>
        </row>
        <row r="3641">
          <cell r="U3641">
            <v>216</v>
          </cell>
        </row>
        <row r="3642">
          <cell r="U3642">
            <v>36</v>
          </cell>
        </row>
        <row r="3643">
          <cell r="U3643">
            <v>216</v>
          </cell>
        </row>
        <row r="3644">
          <cell r="U3644">
            <v>36</v>
          </cell>
        </row>
        <row r="3645">
          <cell r="U3645">
            <v>216</v>
          </cell>
        </row>
        <row r="3646">
          <cell r="U3646">
            <v>36</v>
          </cell>
        </row>
        <row r="3647">
          <cell r="U3647">
            <v>36</v>
          </cell>
        </row>
        <row r="3648">
          <cell r="U3648">
            <v>900</v>
          </cell>
        </row>
        <row r="3649">
          <cell r="U3649">
            <v>36</v>
          </cell>
        </row>
        <row r="3650">
          <cell r="U3650">
            <v>90</v>
          </cell>
        </row>
        <row r="3651">
          <cell r="U3651">
            <v>90</v>
          </cell>
        </row>
        <row r="3652">
          <cell r="U3652">
            <v>180</v>
          </cell>
        </row>
        <row r="3653">
          <cell r="U3653">
            <v>360</v>
          </cell>
        </row>
        <row r="3654">
          <cell r="U3654">
            <v>360</v>
          </cell>
        </row>
        <row r="3655">
          <cell r="U3655">
            <v>180</v>
          </cell>
        </row>
        <row r="3656">
          <cell r="U3656">
            <v>430</v>
          </cell>
        </row>
        <row r="3657">
          <cell r="U3657">
            <v>1075</v>
          </cell>
        </row>
        <row r="3658">
          <cell r="U3658">
            <v>6450</v>
          </cell>
        </row>
        <row r="3659">
          <cell r="U3659">
            <v>3000</v>
          </cell>
        </row>
        <row r="3660">
          <cell r="U3660">
            <v>950</v>
          </cell>
        </row>
        <row r="3661">
          <cell r="U3661">
            <v>1830</v>
          </cell>
        </row>
        <row r="3662">
          <cell r="U3662">
            <v>950</v>
          </cell>
        </row>
        <row r="3663">
          <cell r="U3663">
            <v>1830</v>
          </cell>
        </row>
        <row r="3664">
          <cell r="U3664">
            <v>1830</v>
          </cell>
        </row>
        <row r="3665">
          <cell r="U3665">
            <v>1830</v>
          </cell>
        </row>
        <row r="3666">
          <cell r="U3666">
            <v>1830</v>
          </cell>
        </row>
        <row r="3667">
          <cell r="U3667">
            <v>1830</v>
          </cell>
        </row>
        <row r="3668">
          <cell r="U3668">
            <v>7320</v>
          </cell>
        </row>
        <row r="3669">
          <cell r="U3669">
            <v>1830</v>
          </cell>
        </row>
        <row r="3670">
          <cell r="U3670">
            <v>1830</v>
          </cell>
        </row>
        <row r="3671">
          <cell r="U3671">
            <v>1830</v>
          </cell>
        </row>
        <row r="3672">
          <cell r="U3672">
            <v>5490</v>
          </cell>
        </row>
        <row r="3673">
          <cell r="U3673">
            <v>34800</v>
          </cell>
        </row>
        <row r="3674">
          <cell r="U3674">
            <v>270684</v>
          </cell>
        </row>
        <row r="3675">
          <cell r="U3675">
            <v>195000</v>
          </cell>
        </row>
        <row r="3676">
          <cell r="U3676">
            <v>530000</v>
          </cell>
        </row>
        <row r="3677">
          <cell r="U3677">
            <v>570000</v>
          </cell>
        </row>
        <row r="3678">
          <cell r="U3678">
            <v>12500</v>
          </cell>
        </row>
        <row r="3679">
          <cell r="U3679">
            <v>12500</v>
          </cell>
        </row>
        <row r="3680">
          <cell r="U3680">
            <v>29500</v>
          </cell>
        </row>
        <row r="3681">
          <cell r="U3681">
            <v>19000</v>
          </cell>
        </row>
        <row r="3682">
          <cell r="U3682">
            <v>160</v>
          </cell>
        </row>
        <row r="3683">
          <cell r="U3683">
            <v>160</v>
          </cell>
        </row>
        <row r="3684">
          <cell r="U3684">
            <v>1050</v>
          </cell>
        </row>
        <row r="3685">
          <cell r="U3685">
            <v>55812.5</v>
          </cell>
        </row>
        <row r="3686">
          <cell r="U3686">
            <v>60000</v>
          </cell>
        </row>
        <row r="3687">
          <cell r="U3687">
            <v>14600</v>
          </cell>
        </row>
        <row r="3688">
          <cell r="U3688">
            <v>7625</v>
          </cell>
        </row>
        <row r="3689">
          <cell r="U3689">
            <v>7625</v>
          </cell>
        </row>
        <row r="3690">
          <cell r="U3690">
            <v>7625</v>
          </cell>
        </row>
        <row r="3691">
          <cell r="U3691">
            <v>2400</v>
          </cell>
        </row>
        <row r="3692">
          <cell r="U3692">
            <v>22500</v>
          </cell>
        </row>
        <row r="3693">
          <cell r="U3693">
            <v>15900</v>
          </cell>
        </row>
        <row r="3694">
          <cell r="U3694">
            <v>2974.4</v>
          </cell>
        </row>
        <row r="3695">
          <cell r="U3695">
            <v>83840</v>
          </cell>
        </row>
        <row r="3696">
          <cell r="U3696">
            <v>12781.25</v>
          </cell>
        </row>
        <row r="3697">
          <cell r="U3697">
            <v>12781.25</v>
          </cell>
        </row>
        <row r="3698">
          <cell r="U3698">
            <v>12781.31</v>
          </cell>
        </row>
        <row r="3699">
          <cell r="U3699">
            <v>5700</v>
          </cell>
        </row>
        <row r="3700">
          <cell r="U3700">
            <v>5130</v>
          </cell>
        </row>
        <row r="3701">
          <cell r="U3701">
            <v>5700</v>
          </cell>
        </row>
        <row r="3702">
          <cell r="U3702">
            <v>8750</v>
          </cell>
        </row>
        <row r="3703">
          <cell r="U3703">
            <v>17500</v>
          </cell>
        </row>
        <row r="3704">
          <cell r="U3704">
            <v>8000</v>
          </cell>
        </row>
        <row r="3705">
          <cell r="U3705">
            <v>4495</v>
          </cell>
        </row>
        <row r="3706">
          <cell r="U3706">
            <v>4650</v>
          </cell>
        </row>
        <row r="3707">
          <cell r="U3707">
            <v>9000</v>
          </cell>
        </row>
        <row r="3708">
          <cell r="U3708">
            <v>9000</v>
          </cell>
        </row>
        <row r="3709">
          <cell r="U3709">
            <v>91243.5</v>
          </cell>
        </row>
        <row r="3710">
          <cell r="U3710">
            <v>5415</v>
          </cell>
        </row>
        <row r="3711">
          <cell r="U3711">
            <v>237870</v>
          </cell>
        </row>
        <row r="3712">
          <cell r="U3712">
            <v>55800</v>
          </cell>
        </row>
        <row r="3713">
          <cell r="U3713">
            <v>15150</v>
          </cell>
        </row>
        <row r="3714">
          <cell r="U3714">
            <v>10500</v>
          </cell>
        </row>
        <row r="3715">
          <cell r="U3715">
            <v>7875</v>
          </cell>
        </row>
        <row r="3716">
          <cell r="U3716">
            <v>437.5</v>
          </cell>
        </row>
        <row r="3717">
          <cell r="U3717">
            <v>7875</v>
          </cell>
        </row>
        <row r="3718">
          <cell r="U3718">
            <v>7875</v>
          </cell>
        </row>
        <row r="3719">
          <cell r="U3719">
            <v>7875</v>
          </cell>
        </row>
        <row r="3720">
          <cell r="U3720">
            <v>7875</v>
          </cell>
        </row>
        <row r="3721">
          <cell r="U3721">
            <v>7875</v>
          </cell>
        </row>
        <row r="3722">
          <cell r="U3722">
            <v>7875</v>
          </cell>
        </row>
        <row r="3723">
          <cell r="U3723">
            <v>16250</v>
          </cell>
        </row>
        <row r="3724">
          <cell r="U3724">
            <v>2250</v>
          </cell>
        </row>
        <row r="3725">
          <cell r="U3725">
            <v>4350</v>
          </cell>
        </row>
        <row r="3726">
          <cell r="U3726">
            <v>2150</v>
          </cell>
        </row>
        <row r="3727">
          <cell r="U3727">
            <v>430</v>
          </cell>
        </row>
        <row r="3728">
          <cell r="U3728">
            <v>430</v>
          </cell>
        </row>
        <row r="3729">
          <cell r="U3729">
            <v>860</v>
          </cell>
        </row>
        <row r="3730">
          <cell r="U3730">
            <v>2150</v>
          </cell>
        </row>
        <row r="3731">
          <cell r="U3731">
            <v>520</v>
          </cell>
        </row>
        <row r="3732">
          <cell r="U3732">
            <v>520</v>
          </cell>
        </row>
        <row r="3733">
          <cell r="U3733">
            <v>520</v>
          </cell>
        </row>
        <row r="3734">
          <cell r="U3734">
            <v>520</v>
          </cell>
        </row>
        <row r="3735">
          <cell r="U3735">
            <v>780</v>
          </cell>
        </row>
        <row r="3736">
          <cell r="U3736">
            <v>780</v>
          </cell>
        </row>
        <row r="3737">
          <cell r="U3737">
            <v>675</v>
          </cell>
        </row>
        <row r="3738">
          <cell r="U3738">
            <v>675</v>
          </cell>
        </row>
        <row r="3739">
          <cell r="U3739">
            <v>675</v>
          </cell>
        </row>
        <row r="3740">
          <cell r="U3740">
            <v>675</v>
          </cell>
        </row>
        <row r="3741">
          <cell r="U3741">
            <v>675</v>
          </cell>
        </row>
        <row r="3742">
          <cell r="U3742">
            <v>675</v>
          </cell>
        </row>
        <row r="3743">
          <cell r="U3743">
            <v>900</v>
          </cell>
        </row>
        <row r="3744">
          <cell r="U3744">
            <v>675</v>
          </cell>
        </row>
        <row r="3745">
          <cell r="U3745">
            <v>675</v>
          </cell>
        </row>
        <row r="3746">
          <cell r="U3746">
            <v>675</v>
          </cell>
        </row>
        <row r="3747">
          <cell r="U3747">
            <v>1350</v>
          </cell>
        </row>
        <row r="3748">
          <cell r="U3748">
            <v>650</v>
          </cell>
        </row>
        <row r="3749">
          <cell r="U3749">
            <v>1820</v>
          </cell>
        </row>
        <row r="3750">
          <cell r="U3750">
            <v>130</v>
          </cell>
        </row>
        <row r="3751">
          <cell r="U3751">
            <v>1885</v>
          </cell>
        </row>
        <row r="3752">
          <cell r="U3752">
            <v>3250</v>
          </cell>
        </row>
        <row r="3753">
          <cell r="U3753">
            <v>10300</v>
          </cell>
        </row>
        <row r="3754">
          <cell r="U3754">
            <v>11000</v>
          </cell>
        </row>
        <row r="3755">
          <cell r="U3755">
            <v>1650</v>
          </cell>
        </row>
        <row r="3756">
          <cell r="U3756">
            <v>11000</v>
          </cell>
        </row>
        <row r="3757">
          <cell r="U3757">
            <v>9350</v>
          </cell>
        </row>
        <row r="3758">
          <cell r="U3758">
            <v>11000</v>
          </cell>
        </row>
        <row r="3759">
          <cell r="U3759">
            <v>11000</v>
          </cell>
        </row>
        <row r="3760">
          <cell r="U3760">
            <v>11000</v>
          </cell>
        </row>
        <row r="3761">
          <cell r="U3761">
            <v>1500</v>
          </cell>
        </row>
        <row r="3762">
          <cell r="U3762">
            <v>1700</v>
          </cell>
        </row>
        <row r="3763">
          <cell r="U3763">
            <v>5100</v>
          </cell>
        </row>
        <row r="3764">
          <cell r="U3764">
            <v>5100</v>
          </cell>
        </row>
        <row r="3765">
          <cell r="U3765">
            <v>5100</v>
          </cell>
        </row>
        <row r="3766">
          <cell r="U3766">
            <v>5100</v>
          </cell>
        </row>
        <row r="3767">
          <cell r="U3767">
            <v>5100</v>
          </cell>
        </row>
        <row r="3768">
          <cell r="U3768">
            <v>8400</v>
          </cell>
        </row>
        <row r="3769">
          <cell r="U3769">
            <v>9345</v>
          </cell>
        </row>
        <row r="3770">
          <cell r="U3770">
            <v>12015</v>
          </cell>
        </row>
        <row r="3771">
          <cell r="U3771">
            <v>12015</v>
          </cell>
        </row>
        <row r="3772">
          <cell r="U3772">
            <v>12015</v>
          </cell>
        </row>
        <row r="3773">
          <cell r="U3773">
            <v>8010</v>
          </cell>
        </row>
        <row r="3774">
          <cell r="U3774">
            <v>4005</v>
          </cell>
        </row>
        <row r="3775">
          <cell r="U3775">
            <v>12015</v>
          </cell>
        </row>
        <row r="3776">
          <cell r="U3776">
            <v>8685</v>
          </cell>
        </row>
        <row r="3777">
          <cell r="U3777">
            <v>9135</v>
          </cell>
        </row>
        <row r="3778">
          <cell r="U3778">
            <v>9135</v>
          </cell>
        </row>
        <row r="3779">
          <cell r="U3779">
            <v>9135</v>
          </cell>
        </row>
        <row r="3780">
          <cell r="U3780">
            <v>9135</v>
          </cell>
        </row>
        <row r="3781">
          <cell r="U3781">
            <v>3045</v>
          </cell>
        </row>
        <row r="3782">
          <cell r="U3782">
            <v>6090</v>
          </cell>
        </row>
        <row r="3783">
          <cell r="U3783">
            <v>4060</v>
          </cell>
        </row>
        <row r="3784">
          <cell r="U3784">
            <v>3320</v>
          </cell>
        </row>
        <row r="3785">
          <cell r="U3785">
            <v>3500</v>
          </cell>
        </row>
        <row r="3786">
          <cell r="U3786">
            <v>7000</v>
          </cell>
        </row>
        <row r="3787">
          <cell r="U3787">
            <v>7000</v>
          </cell>
        </row>
        <row r="3788">
          <cell r="U3788">
            <v>7000</v>
          </cell>
        </row>
        <row r="3789">
          <cell r="U3789">
            <v>7000</v>
          </cell>
        </row>
        <row r="3790">
          <cell r="U3790">
            <v>7000</v>
          </cell>
        </row>
        <row r="3791">
          <cell r="U3791">
            <v>18000</v>
          </cell>
        </row>
        <row r="3792">
          <cell r="U3792">
            <v>18480</v>
          </cell>
        </row>
        <row r="3793">
          <cell r="U3793">
            <v>21560</v>
          </cell>
        </row>
        <row r="3794">
          <cell r="U3794">
            <v>21560</v>
          </cell>
        </row>
        <row r="3795">
          <cell r="U3795">
            <v>1540</v>
          </cell>
        </row>
        <row r="3796">
          <cell r="U3796">
            <v>20020</v>
          </cell>
        </row>
        <row r="3797">
          <cell r="U3797">
            <v>21560</v>
          </cell>
        </row>
        <row r="3798">
          <cell r="U3798">
            <v>3080</v>
          </cell>
        </row>
        <row r="3799">
          <cell r="U3799">
            <v>132</v>
          </cell>
        </row>
        <row r="3800">
          <cell r="U3800">
            <v>60</v>
          </cell>
        </row>
        <row r="3801">
          <cell r="U3801">
            <v>60</v>
          </cell>
        </row>
        <row r="3802">
          <cell r="U3802">
            <v>60</v>
          </cell>
        </row>
        <row r="3803">
          <cell r="U3803">
            <v>60</v>
          </cell>
        </row>
        <row r="3804">
          <cell r="U3804">
            <v>60</v>
          </cell>
        </row>
        <row r="3805">
          <cell r="U3805">
            <v>60</v>
          </cell>
        </row>
        <row r="3806">
          <cell r="U3806">
            <v>300</v>
          </cell>
        </row>
        <row r="3807">
          <cell r="U3807">
            <v>300</v>
          </cell>
        </row>
        <row r="3808">
          <cell r="U3808">
            <v>300</v>
          </cell>
        </row>
        <row r="3809">
          <cell r="U3809">
            <v>300</v>
          </cell>
        </row>
        <row r="3810">
          <cell r="U3810">
            <v>300</v>
          </cell>
        </row>
        <row r="3811">
          <cell r="U3811">
            <v>300</v>
          </cell>
        </row>
        <row r="3812">
          <cell r="U3812">
            <v>150</v>
          </cell>
        </row>
        <row r="3813">
          <cell r="U3813">
            <v>300</v>
          </cell>
        </row>
        <row r="3814">
          <cell r="U3814">
            <v>900</v>
          </cell>
        </row>
        <row r="3815">
          <cell r="U3815">
            <v>525</v>
          </cell>
        </row>
        <row r="3816">
          <cell r="U3816">
            <v>525</v>
          </cell>
        </row>
        <row r="3817">
          <cell r="U3817">
            <v>525</v>
          </cell>
        </row>
        <row r="3818">
          <cell r="U3818">
            <v>525</v>
          </cell>
        </row>
        <row r="3819">
          <cell r="U3819">
            <v>525</v>
          </cell>
        </row>
        <row r="3820">
          <cell r="U3820">
            <v>525</v>
          </cell>
        </row>
        <row r="3821">
          <cell r="U3821">
            <v>210</v>
          </cell>
        </row>
        <row r="3822">
          <cell r="U3822">
            <v>357</v>
          </cell>
        </row>
        <row r="3823">
          <cell r="U3823">
            <v>525</v>
          </cell>
        </row>
        <row r="3824">
          <cell r="U3824">
            <v>625</v>
          </cell>
        </row>
        <row r="3825">
          <cell r="U3825">
            <v>1250</v>
          </cell>
        </row>
        <row r="3826">
          <cell r="U3826">
            <v>1250</v>
          </cell>
        </row>
        <row r="3827">
          <cell r="U3827">
            <v>625</v>
          </cell>
        </row>
        <row r="3828">
          <cell r="U3828">
            <v>625</v>
          </cell>
        </row>
        <row r="3829">
          <cell r="U3829">
            <v>150</v>
          </cell>
        </row>
        <row r="3830">
          <cell r="U3830">
            <v>150</v>
          </cell>
        </row>
        <row r="3831">
          <cell r="U3831">
            <v>150</v>
          </cell>
        </row>
        <row r="3832">
          <cell r="U3832">
            <v>150</v>
          </cell>
        </row>
        <row r="3833">
          <cell r="U3833">
            <v>62.5</v>
          </cell>
        </row>
        <row r="3834">
          <cell r="U3834">
            <v>64</v>
          </cell>
        </row>
        <row r="3835">
          <cell r="U3835">
            <v>32</v>
          </cell>
        </row>
        <row r="3836">
          <cell r="U3836">
            <v>32</v>
          </cell>
        </row>
        <row r="3837">
          <cell r="U3837">
            <v>64</v>
          </cell>
        </row>
        <row r="3838">
          <cell r="U3838">
            <v>32</v>
          </cell>
        </row>
        <row r="3839">
          <cell r="U3839">
            <v>32</v>
          </cell>
        </row>
        <row r="3840">
          <cell r="U3840">
            <v>32</v>
          </cell>
        </row>
        <row r="3841">
          <cell r="U3841">
            <v>80</v>
          </cell>
        </row>
        <row r="3842">
          <cell r="U3842">
            <v>190</v>
          </cell>
        </row>
        <row r="3843">
          <cell r="U3843">
            <v>65</v>
          </cell>
        </row>
        <row r="3844">
          <cell r="U3844">
            <v>65</v>
          </cell>
        </row>
        <row r="3845">
          <cell r="U3845">
            <v>95</v>
          </cell>
        </row>
        <row r="3846">
          <cell r="U3846">
            <v>237.5</v>
          </cell>
        </row>
        <row r="3847">
          <cell r="U3847">
            <v>95</v>
          </cell>
        </row>
        <row r="3848">
          <cell r="U3848">
            <v>95</v>
          </cell>
        </row>
        <row r="3849">
          <cell r="U3849">
            <v>95</v>
          </cell>
        </row>
        <row r="3850">
          <cell r="U3850">
            <v>47.5</v>
          </cell>
        </row>
        <row r="3851">
          <cell r="U3851">
            <v>95</v>
          </cell>
        </row>
        <row r="3852">
          <cell r="U3852">
            <v>95</v>
          </cell>
        </row>
        <row r="3853">
          <cell r="U3853">
            <v>95</v>
          </cell>
        </row>
        <row r="3854">
          <cell r="U3854">
            <v>190</v>
          </cell>
        </row>
        <row r="3855">
          <cell r="U3855">
            <v>300</v>
          </cell>
        </row>
        <row r="3856">
          <cell r="U3856">
            <v>17</v>
          </cell>
        </row>
        <row r="3857">
          <cell r="U3857">
            <v>1850</v>
          </cell>
        </row>
        <row r="3858">
          <cell r="U3858">
            <v>925</v>
          </cell>
        </row>
        <row r="3859">
          <cell r="U3859">
            <v>1850</v>
          </cell>
        </row>
        <row r="3860">
          <cell r="U3860">
            <v>925</v>
          </cell>
        </row>
        <row r="3861">
          <cell r="U3861">
            <v>1110</v>
          </cell>
        </row>
        <row r="3862">
          <cell r="U3862">
            <v>555</v>
          </cell>
        </row>
        <row r="3863">
          <cell r="U3863">
            <v>1850</v>
          </cell>
        </row>
        <row r="3864">
          <cell r="U3864">
            <v>1850</v>
          </cell>
        </row>
        <row r="3865">
          <cell r="U3865">
            <v>75</v>
          </cell>
        </row>
        <row r="3866">
          <cell r="U3866">
            <v>375</v>
          </cell>
        </row>
        <row r="3867">
          <cell r="U3867">
            <v>75</v>
          </cell>
        </row>
        <row r="3868">
          <cell r="U3868">
            <v>75</v>
          </cell>
        </row>
        <row r="3869">
          <cell r="U3869">
            <v>375</v>
          </cell>
        </row>
        <row r="3870">
          <cell r="U3870">
            <v>750</v>
          </cell>
        </row>
        <row r="3871">
          <cell r="U3871">
            <v>75</v>
          </cell>
        </row>
        <row r="3872">
          <cell r="U3872">
            <v>75</v>
          </cell>
        </row>
        <row r="3873">
          <cell r="U3873">
            <v>75</v>
          </cell>
        </row>
        <row r="3874">
          <cell r="U3874">
            <v>375</v>
          </cell>
        </row>
        <row r="3875">
          <cell r="U3875">
            <v>37.5</v>
          </cell>
        </row>
        <row r="3876">
          <cell r="U3876">
            <v>152</v>
          </cell>
        </row>
        <row r="3877">
          <cell r="U3877">
            <v>160</v>
          </cell>
        </row>
        <row r="3878">
          <cell r="U3878">
            <v>32</v>
          </cell>
        </row>
        <row r="3879">
          <cell r="U3879">
            <v>160</v>
          </cell>
        </row>
        <row r="3880">
          <cell r="U3880">
            <v>160</v>
          </cell>
        </row>
        <row r="3881">
          <cell r="U3881">
            <v>80</v>
          </cell>
        </row>
        <row r="3882">
          <cell r="U3882">
            <v>320</v>
          </cell>
        </row>
        <row r="3883">
          <cell r="U3883">
            <v>80</v>
          </cell>
        </row>
        <row r="3884">
          <cell r="U3884">
            <v>320</v>
          </cell>
        </row>
        <row r="3885">
          <cell r="U3885">
            <v>90</v>
          </cell>
        </row>
        <row r="3886">
          <cell r="U3886">
            <v>54</v>
          </cell>
        </row>
        <row r="3887">
          <cell r="U3887">
            <v>90</v>
          </cell>
        </row>
        <row r="3888">
          <cell r="U3888">
            <v>90</v>
          </cell>
        </row>
        <row r="3889">
          <cell r="U3889">
            <v>160</v>
          </cell>
        </row>
        <row r="3890">
          <cell r="U3890">
            <v>320</v>
          </cell>
        </row>
        <row r="3891">
          <cell r="U3891">
            <v>192</v>
          </cell>
        </row>
        <row r="3892">
          <cell r="U3892">
            <v>160</v>
          </cell>
        </row>
        <row r="3893">
          <cell r="U3893">
            <v>640</v>
          </cell>
        </row>
        <row r="3894">
          <cell r="U3894">
            <v>160</v>
          </cell>
        </row>
        <row r="3895">
          <cell r="U3895">
            <v>160</v>
          </cell>
        </row>
        <row r="3896">
          <cell r="U3896">
            <v>160</v>
          </cell>
        </row>
        <row r="3897">
          <cell r="U3897">
            <v>800</v>
          </cell>
        </row>
        <row r="3898">
          <cell r="U3898">
            <v>1600</v>
          </cell>
        </row>
        <row r="3899">
          <cell r="U3899">
            <v>4000</v>
          </cell>
        </row>
        <row r="3900">
          <cell r="U3900">
            <v>4800</v>
          </cell>
        </row>
        <row r="3901">
          <cell r="U3901">
            <v>1600</v>
          </cell>
        </row>
        <row r="3902">
          <cell r="U3902">
            <v>800</v>
          </cell>
        </row>
        <row r="3903">
          <cell r="U3903">
            <v>3200</v>
          </cell>
        </row>
        <row r="3904">
          <cell r="U3904">
            <v>160</v>
          </cell>
        </row>
        <row r="3905">
          <cell r="U3905">
            <v>96</v>
          </cell>
        </row>
        <row r="3906">
          <cell r="U3906">
            <v>160</v>
          </cell>
        </row>
        <row r="3907">
          <cell r="U3907">
            <v>160</v>
          </cell>
        </row>
        <row r="3908">
          <cell r="U3908">
            <v>96</v>
          </cell>
        </row>
        <row r="3909">
          <cell r="U3909">
            <v>160</v>
          </cell>
        </row>
        <row r="3910">
          <cell r="U3910">
            <v>82.5</v>
          </cell>
        </row>
        <row r="3911">
          <cell r="U3911">
            <v>49.5</v>
          </cell>
        </row>
        <row r="3912">
          <cell r="U3912">
            <v>49.5</v>
          </cell>
        </row>
        <row r="3913">
          <cell r="U3913">
            <v>82.5</v>
          </cell>
        </row>
        <row r="3914">
          <cell r="U3914">
            <v>170</v>
          </cell>
        </row>
        <row r="3915">
          <cell r="U3915">
            <v>170</v>
          </cell>
        </row>
        <row r="3916">
          <cell r="U3916">
            <v>85</v>
          </cell>
        </row>
        <row r="3917">
          <cell r="U3917">
            <v>255</v>
          </cell>
        </row>
        <row r="3918">
          <cell r="U3918">
            <v>170</v>
          </cell>
        </row>
        <row r="3919">
          <cell r="U3919">
            <v>212.5</v>
          </cell>
        </row>
        <row r="3920">
          <cell r="U3920">
            <v>170</v>
          </cell>
        </row>
        <row r="3921">
          <cell r="U3921">
            <v>170</v>
          </cell>
        </row>
        <row r="3922">
          <cell r="U3922">
            <v>72</v>
          </cell>
        </row>
        <row r="3923">
          <cell r="U3923">
            <v>720</v>
          </cell>
        </row>
        <row r="3924">
          <cell r="U3924">
            <v>432</v>
          </cell>
        </row>
        <row r="3925">
          <cell r="U3925">
            <v>720</v>
          </cell>
        </row>
        <row r="3926">
          <cell r="U3926">
            <v>720</v>
          </cell>
        </row>
        <row r="3927">
          <cell r="U3927">
            <v>96</v>
          </cell>
        </row>
        <row r="3928">
          <cell r="U3928">
            <v>700</v>
          </cell>
        </row>
        <row r="3929">
          <cell r="U3929">
            <v>350</v>
          </cell>
        </row>
        <row r="3930">
          <cell r="U3930">
            <v>210</v>
          </cell>
        </row>
        <row r="3931">
          <cell r="U3931">
            <v>350</v>
          </cell>
        </row>
        <row r="3932">
          <cell r="U3932">
            <v>132</v>
          </cell>
        </row>
        <row r="3933">
          <cell r="U3933">
            <v>198</v>
          </cell>
        </row>
        <row r="3934">
          <cell r="U3934">
            <v>198</v>
          </cell>
        </row>
        <row r="3935">
          <cell r="U3935">
            <v>1980</v>
          </cell>
        </row>
        <row r="3936">
          <cell r="U3936">
            <v>198</v>
          </cell>
        </row>
        <row r="3937">
          <cell r="U3937">
            <v>80</v>
          </cell>
        </row>
        <row r="3938">
          <cell r="U3938">
            <v>80</v>
          </cell>
        </row>
        <row r="3939">
          <cell r="U3939">
            <v>40</v>
          </cell>
        </row>
        <row r="3940">
          <cell r="U3940">
            <v>24</v>
          </cell>
        </row>
        <row r="3941">
          <cell r="U3941">
            <v>80</v>
          </cell>
        </row>
        <row r="3942">
          <cell r="U3942">
            <v>80</v>
          </cell>
        </row>
        <row r="3943">
          <cell r="U3943">
            <v>80</v>
          </cell>
        </row>
        <row r="3944">
          <cell r="U3944">
            <v>80</v>
          </cell>
        </row>
        <row r="3945">
          <cell r="U3945">
            <v>240</v>
          </cell>
        </row>
        <row r="3946">
          <cell r="U3946">
            <v>350</v>
          </cell>
        </row>
        <row r="3947">
          <cell r="U3947">
            <v>90</v>
          </cell>
        </row>
        <row r="3948">
          <cell r="U3948">
            <v>1080</v>
          </cell>
        </row>
        <row r="3949">
          <cell r="U3949">
            <v>80</v>
          </cell>
        </row>
        <row r="3950">
          <cell r="U3950">
            <v>160</v>
          </cell>
        </row>
        <row r="3951">
          <cell r="U3951">
            <v>2400</v>
          </cell>
        </row>
        <row r="3952">
          <cell r="U3952">
            <v>160</v>
          </cell>
        </row>
        <row r="3953">
          <cell r="U3953">
            <v>320</v>
          </cell>
        </row>
        <row r="3954">
          <cell r="U3954">
            <v>2400</v>
          </cell>
        </row>
        <row r="3955">
          <cell r="U3955">
            <v>40</v>
          </cell>
        </row>
        <row r="3956">
          <cell r="U3956">
            <v>85</v>
          </cell>
        </row>
        <row r="3957">
          <cell r="U3957">
            <v>240</v>
          </cell>
        </row>
        <row r="3958">
          <cell r="U3958">
            <v>80</v>
          </cell>
        </row>
        <row r="3959">
          <cell r="U3959">
            <v>80</v>
          </cell>
        </row>
        <row r="3960">
          <cell r="U3960">
            <v>120</v>
          </cell>
        </row>
        <row r="3961">
          <cell r="U3961">
            <v>240</v>
          </cell>
        </row>
        <row r="3962">
          <cell r="U3962">
            <v>240</v>
          </cell>
        </row>
        <row r="3963">
          <cell r="U3963">
            <v>640</v>
          </cell>
        </row>
        <row r="3964">
          <cell r="U3964">
            <v>85</v>
          </cell>
        </row>
        <row r="3965">
          <cell r="U3965">
            <v>800</v>
          </cell>
        </row>
        <row r="3966">
          <cell r="U3966">
            <v>320</v>
          </cell>
        </row>
        <row r="3967">
          <cell r="U3967">
            <v>1440</v>
          </cell>
        </row>
        <row r="3968">
          <cell r="U3968">
            <v>160</v>
          </cell>
        </row>
        <row r="3969">
          <cell r="U3969">
            <v>160</v>
          </cell>
        </row>
        <row r="3970">
          <cell r="U3970">
            <v>1200</v>
          </cell>
        </row>
        <row r="3971">
          <cell r="U3971">
            <v>80</v>
          </cell>
        </row>
        <row r="3972">
          <cell r="U3972">
            <v>240</v>
          </cell>
        </row>
        <row r="3973">
          <cell r="U3973">
            <v>400</v>
          </cell>
        </row>
        <row r="3974">
          <cell r="U3974">
            <v>240</v>
          </cell>
        </row>
        <row r="3975">
          <cell r="U3975">
            <v>1760</v>
          </cell>
        </row>
        <row r="3976">
          <cell r="U3976">
            <v>640</v>
          </cell>
        </row>
        <row r="3977">
          <cell r="U3977">
            <v>240</v>
          </cell>
        </row>
        <row r="3978">
          <cell r="U3978">
            <v>80</v>
          </cell>
        </row>
        <row r="3979">
          <cell r="U3979">
            <v>240</v>
          </cell>
        </row>
        <row r="3980">
          <cell r="U3980">
            <v>80</v>
          </cell>
        </row>
        <row r="3981">
          <cell r="U3981">
            <v>400</v>
          </cell>
        </row>
        <row r="3982">
          <cell r="U3982">
            <v>80</v>
          </cell>
        </row>
        <row r="3983">
          <cell r="U3983">
            <v>160</v>
          </cell>
        </row>
        <row r="3984">
          <cell r="U3984">
            <v>320</v>
          </cell>
        </row>
        <row r="3985">
          <cell r="U3985">
            <v>240</v>
          </cell>
        </row>
        <row r="3986">
          <cell r="U3986">
            <v>240</v>
          </cell>
        </row>
        <row r="3987">
          <cell r="U3987">
            <v>400</v>
          </cell>
        </row>
        <row r="3988">
          <cell r="U3988">
            <v>240</v>
          </cell>
        </row>
        <row r="3989">
          <cell r="U3989">
            <v>160</v>
          </cell>
        </row>
        <row r="3990">
          <cell r="U3990">
            <v>240</v>
          </cell>
        </row>
        <row r="3991">
          <cell r="U3991">
            <v>160</v>
          </cell>
        </row>
        <row r="3992">
          <cell r="U3992">
            <v>80</v>
          </cell>
        </row>
        <row r="3993">
          <cell r="U3993">
            <v>320</v>
          </cell>
        </row>
        <row r="3994">
          <cell r="U3994">
            <v>4000</v>
          </cell>
        </row>
        <row r="3995">
          <cell r="U3995">
            <v>80</v>
          </cell>
        </row>
        <row r="3996">
          <cell r="U3996">
            <v>290</v>
          </cell>
        </row>
        <row r="3997">
          <cell r="U3997">
            <v>72.5</v>
          </cell>
        </row>
        <row r="3998">
          <cell r="U3998">
            <v>290</v>
          </cell>
        </row>
        <row r="3999">
          <cell r="U3999">
            <v>43.5</v>
          </cell>
        </row>
        <row r="4000">
          <cell r="U4000">
            <v>72.5</v>
          </cell>
        </row>
        <row r="4001">
          <cell r="U4001">
            <v>145</v>
          </cell>
        </row>
        <row r="4002">
          <cell r="U4002">
            <v>145</v>
          </cell>
        </row>
        <row r="4003">
          <cell r="U4003">
            <v>145</v>
          </cell>
        </row>
        <row r="4004">
          <cell r="U4004">
            <v>145</v>
          </cell>
        </row>
        <row r="4005">
          <cell r="U4005">
            <v>72.5</v>
          </cell>
        </row>
        <row r="4006">
          <cell r="U4006">
            <v>725</v>
          </cell>
        </row>
        <row r="4007">
          <cell r="U4007">
            <v>135</v>
          </cell>
        </row>
        <row r="4008">
          <cell r="U4008">
            <v>1350</v>
          </cell>
        </row>
        <row r="4009">
          <cell r="U4009">
            <v>4050</v>
          </cell>
        </row>
        <row r="4010">
          <cell r="U4010">
            <v>243</v>
          </cell>
        </row>
        <row r="4011">
          <cell r="U4011">
            <v>135</v>
          </cell>
        </row>
        <row r="4012">
          <cell r="U4012">
            <v>4050</v>
          </cell>
        </row>
        <row r="4013">
          <cell r="U4013">
            <v>6000</v>
          </cell>
        </row>
        <row r="4014">
          <cell r="U4014">
            <v>600</v>
          </cell>
        </row>
        <row r="4015">
          <cell r="U4015">
            <v>100</v>
          </cell>
        </row>
        <row r="4016">
          <cell r="U4016">
            <v>100</v>
          </cell>
        </row>
        <row r="4017">
          <cell r="U4017">
            <v>600</v>
          </cell>
        </row>
        <row r="4018">
          <cell r="U4018">
            <v>600</v>
          </cell>
        </row>
        <row r="4019">
          <cell r="U4019">
            <v>600</v>
          </cell>
        </row>
        <row r="4020">
          <cell r="U4020">
            <v>200</v>
          </cell>
        </row>
        <row r="4021">
          <cell r="U4021">
            <v>600</v>
          </cell>
        </row>
        <row r="4022">
          <cell r="U4022">
            <v>600</v>
          </cell>
        </row>
        <row r="4023">
          <cell r="U4023">
            <v>400</v>
          </cell>
        </row>
        <row r="4024">
          <cell r="U4024">
            <v>600</v>
          </cell>
        </row>
        <row r="4025">
          <cell r="U4025">
            <v>600</v>
          </cell>
        </row>
        <row r="4026">
          <cell r="U4026">
            <v>600</v>
          </cell>
        </row>
        <row r="4027">
          <cell r="U4027">
            <v>600</v>
          </cell>
        </row>
        <row r="4028">
          <cell r="U4028">
            <v>80</v>
          </cell>
        </row>
        <row r="4029">
          <cell r="U4029">
            <v>40</v>
          </cell>
        </row>
        <row r="4030">
          <cell r="U4030">
            <v>60</v>
          </cell>
        </row>
        <row r="4031">
          <cell r="U4031">
            <v>24</v>
          </cell>
        </row>
        <row r="4032">
          <cell r="U4032">
            <v>210</v>
          </cell>
        </row>
        <row r="4033">
          <cell r="U4033">
            <v>105</v>
          </cell>
        </row>
        <row r="4034">
          <cell r="U4034">
            <v>105</v>
          </cell>
        </row>
        <row r="4035">
          <cell r="U4035">
            <v>350</v>
          </cell>
        </row>
        <row r="4036">
          <cell r="U4036">
            <v>210</v>
          </cell>
        </row>
        <row r="4037">
          <cell r="U4037">
            <v>140</v>
          </cell>
        </row>
        <row r="4038">
          <cell r="U4038">
            <v>70</v>
          </cell>
        </row>
        <row r="4039">
          <cell r="U4039">
            <v>70</v>
          </cell>
        </row>
        <row r="4040">
          <cell r="U4040">
            <v>70</v>
          </cell>
        </row>
        <row r="4041">
          <cell r="U4041">
            <v>140</v>
          </cell>
        </row>
        <row r="4042">
          <cell r="U4042">
            <v>210</v>
          </cell>
        </row>
        <row r="4043">
          <cell r="U4043">
            <v>350</v>
          </cell>
        </row>
        <row r="4044">
          <cell r="U4044">
            <v>210</v>
          </cell>
        </row>
        <row r="4045">
          <cell r="U4045">
            <v>145</v>
          </cell>
        </row>
        <row r="4046">
          <cell r="U4046">
            <v>2900</v>
          </cell>
        </row>
        <row r="4047">
          <cell r="U4047">
            <v>290</v>
          </cell>
        </row>
        <row r="4048">
          <cell r="U4048">
            <v>870</v>
          </cell>
        </row>
        <row r="4049">
          <cell r="U4049">
            <v>290</v>
          </cell>
        </row>
        <row r="4050">
          <cell r="U4050">
            <v>2900</v>
          </cell>
        </row>
        <row r="4051">
          <cell r="U4051">
            <v>290</v>
          </cell>
        </row>
        <row r="4052">
          <cell r="U4052">
            <v>290</v>
          </cell>
        </row>
        <row r="4053">
          <cell r="U4053">
            <v>1200</v>
          </cell>
        </row>
        <row r="4054">
          <cell r="U4054">
            <v>275</v>
          </cell>
        </row>
        <row r="4055">
          <cell r="U4055">
            <v>330</v>
          </cell>
        </row>
        <row r="4056">
          <cell r="U4056">
            <v>600</v>
          </cell>
        </row>
        <row r="4057">
          <cell r="U4057">
            <v>300</v>
          </cell>
        </row>
        <row r="4058">
          <cell r="U4058">
            <v>150</v>
          </cell>
        </row>
        <row r="4059">
          <cell r="U4059">
            <v>150</v>
          </cell>
        </row>
        <row r="4060">
          <cell r="U4060">
            <v>3</v>
          </cell>
        </row>
        <row r="4061">
          <cell r="U4061">
            <v>300</v>
          </cell>
        </row>
        <row r="4062">
          <cell r="U4062">
            <v>300</v>
          </cell>
        </row>
        <row r="4063">
          <cell r="U4063">
            <v>300</v>
          </cell>
        </row>
        <row r="4064">
          <cell r="U4064">
            <v>600</v>
          </cell>
        </row>
        <row r="4065">
          <cell r="U4065">
            <v>300</v>
          </cell>
        </row>
        <row r="4066">
          <cell r="U4066">
            <v>150</v>
          </cell>
        </row>
        <row r="4067">
          <cell r="U4067">
            <v>300</v>
          </cell>
        </row>
        <row r="4068">
          <cell r="U4068">
            <v>150</v>
          </cell>
        </row>
        <row r="4069">
          <cell r="U4069">
            <v>600</v>
          </cell>
        </row>
        <row r="4070">
          <cell r="U4070">
            <v>150</v>
          </cell>
        </row>
        <row r="4071">
          <cell r="U4071">
            <v>48</v>
          </cell>
        </row>
        <row r="4072">
          <cell r="U4072">
            <v>25</v>
          </cell>
        </row>
        <row r="4073">
          <cell r="U4073">
            <v>250</v>
          </cell>
        </row>
        <row r="4074">
          <cell r="U4074">
            <v>250</v>
          </cell>
        </row>
        <row r="4075">
          <cell r="U4075">
            <v>250</v>
          </cell>
        </row>
        <row r="4076">
          <cell r="U4076">
            <v>250</v>
          </cell>
        </row>
        <row r="4077">
          <cell r="U4077">
            <v>625</v>
          </cell>
        </row>
        <row r="4078">
          <cell r="U4078">
            <v>170</v>
          </cell>
        </row>
        <row r="4079">
          <cell r="U4079">
            <v>64</v>
          </cell>
        </row>
        <row r="4080">
          <cell r="U4080">
            <v>32</v>
          </cell>
        </row>
        <row r="4081">
          <cell r="U4081">
            <v>64</v>
          </cell>
        </row>
        <row r="4082">
          <cell r="U4082">
            <v>160</v>
          </cell>
        </row>
        <row r="4083">
          <cell r="U4083">
            <v>290</v>
          </cell>
        </row>
        <row r="4084">
          <cell r="U4084">
            <v>420</v>
          </cell>
        </row>
        <row r="4085">
          <cell r="U4085">
            <v>420</v>
          </cell>
        </row>
        <row r="4086">
          <cell r="U4086">
            <v>210</v>
          </cell>
        </row>
        <row r="4087">
          <cell r="U4087">
            <v>210</v>
          </cell>
        </row>
        <row r="4088">
          <cell r="U4088">
            <v>35</v>
          </cell>
        </row>
        <row r="4089">
          <cell r="U4089">
            <v>60</v>
          </cell>
        </row>
        <row r="4090">
          <cell r="U4090">
            <v>110</v>
          </cell>
        </row>
        <row r="4091">
          <cell r="U4091">
            <v>90</v>
          </cell>
        </row>
        <row r="4092">
          <cell r="U4092">
            <v>18</v>
          </cell>
        </row>
        <row r="4093">
          <cell r="U4093">
            <v>180</v>
          </cell>
        </row>
        <row r="4094">
          <cell r="U4094">
            <v>90</v>
          </cell>
        </row>
        <row r="4095">
          <cell r="U4095">
            <v>90</v>
          </cell>
        </row>
        <row r="4096">
          <cell r="U4096">
            <v>90</v>
          </cell>
        </row>
        <row r="4097">
          <cell r="U4097">
            <v>90</v>
          </cell>
        </row>
        <row r="4098">
          <cell r="U4098">
            <v>160</v>
          </cell>
        </row>
        <row r="4099">
          <cell r="U4099">
            <v>160</v>
          </cell>
        </row>
        <row r="4100">
          <cell r="U4100">
            <v>192</v>
          </cell>
        </row>
        <row r="4101">
          <cell r="U4101">
            <v>640</v>
          </cell>
        </row>
        <row r="4102">
          <cell r="U4102">
            <v>64</v>
          </cell>
        </row>
        <row r="4103">
          <cell r="U4103">
            <v>280</v>
          </cell>
        </row>
        <row r="4104">
          <cell r="U4104">
            <v>80</v>
          </cell>
        </row>
        <row r="4105">
          <cell r="U4105">
            <v>32</v>
          </cell>
        </row>
        <row r="4106">
          <cell r="U4106">
            <v>80</v>
          </cell>
        </row>
        <row r="4107">
          <cell r="U4107">
            <v>80</v>
          </cell>
        </row>
        <row r="4108">
          <cell r="U4108">
            <v>32</v>
          </cell>
        </row>
        <row r="4109">
          <cell r="U4109">
            <v>160</v>
          </cell>
        </row>
        <row r="4110">
          <cell r="U4110">
            <v>110</v>
          </cell>
        </row>
        <row r="4111">
          <cell r="U4111">
            <v>275</v>
          </cell>
        </row>
        <row r="4112">
          <cell r="U4112">
            <v>275</v>
          </cell>
        </row>
        <row r="4113">
          <cell r="U4113">
            <v>330</v>
          </cell>
        </row>
        <row r="4114">
          <cell r="U4114">
            <v>110</v>
          </cell>
        </row>
        <row r="4115">
          <cell r="U4115">
            <v>275</v>
          </cell>
        </row>
        <row r="4116">
          <cell r="U4116">
            <v>2750</v>
          </cell>
        </row>
        <row r="4117">
          <cell r="U4117">
            <v>550</v>
          </cell>
        </row>
        <row r="4118">
          <cell r="U4118">
            <v>550</v>
          </cell>
        </row>
        <row r="4119">
          <cell r="U4119">
            <v>1000</v>
          </cell>
        </row>
        <row r="4120">
          <cell r="U4120">
            <v>1200</v>
          </cell>
        </row>
        <row r="4121">
          <cell r="U4121">
            <v>1200</v>
          </cell>
        </row>
        <row r="4122">
          <cell r="U4122">
            <v>2000</v>
          </cell>
        </row>
        <row r="4123">
          <cell r="U4123">
            <v>36</v>
          </cell>
        </row>
        <row r="4124">
          <cell r="U4124">
            <v>36</v>
          </cell>
        </row>
        <row r="4125">
          <cell r="U4125">
            <v>20</v>
          </cell>
        </row>
        <row r="4126">
          <cell r="U4126">
            <v>230</v>
          </cell>
        </row>
        <row r="4127">
          <cell r="U4127">
            <v>115</v>
          </cell>
        </row>
        <row r="4128">
          <cell r="U4128">
            <v>11.5</v>
          </cell>
        </row>
        <row r="4129">
          <cell r="U4129">
            <v>300</v>
          </cell>
        </row>
        <row r="4130">
          <cell r="U4130">
            <v>150</v>
          </cell>
        </row>
        <row r="4131">
          <cell r="U4131">
            <v>150</v>
          </cell>
        </row>
        <row r="4132">
          <cell r="U4132">
            <v>225</v>
          </cell>
        </row>
        <row r="4133">
          <cell r="U4133">
            <v>90</v>
          </cell>
        </row>
        <row r="4134">
          <cell r="U4134">
            <v>45</v>
          </cell>
        </row>
        <row r="4135">
          <cell r="U4135">
            <v>225</v>
          </cell>
        </row>
        <row r="4136">
          <cell r="U4136">
            <v>67.5</v>
          </cell>
        </row>
        <row r="4137">
          <cell r="U4137">
            <v>225</v>
          </cell>
        </row>
        <row r="4138">
          <cell r="U4138">
            <v>45</v>
          </cell>
        </row>
        <row r="4139">
          <cell r="U4139">
            <v>45</v>
          </cell>
        </row>
        <row r="4140">
          <cell r="U4140">
            <v>135</v>
          </cell>
        </row>
        <row r="4141">
          <cell r="U4141">
            <v>45</v>
          </cell>
        </row>
        <row r="4142">
          <cell r="U4142">
            <v>135</v>
          </cell>
        </row>
        <row r="4143">
          <cell r="U4143">
            <v>115</v>
          </cell>
        </row>
        <row r="4144">
          <cell r="U4144">
            <v>230</v>
          </cell>
        </row>
        <row r="4145">
          <cell r="U4145">
            <v>1150</v>
          </cell>
        </row>
        <row r="4146">
          <cell r="U4146">
            <v>115</v>
          </cell>
        </row>
        <row r="4147">
          <cell r="U4147">
            <v>450</v>
          </cell>
        </row>
        <row r="4148">
          <cell r="U4148">
            <v>90</v>
          </cell>
        </row>
        <row r="4149">
          <cell r="U4149">
            <v>450</v>
          </cell>
        </row>
        <row r="4150">
          <cell r="U4150">
            <v>180</v>
          </cell>
        </row>
        <row r="4151">
          <cell r="U4151">
            <v>42</v>
          </cell>
        </row>
        <row r="4152">
          <cell r="U4152">
            <v>21</v>
          </cell>
        </row>
        <row r="4153">
          <cell r="U4153">
            <v>126</v>
          </cell>
        </row>
        <row r="4154">
          <cell r="U4154">
            <v>126</v>
          </cell>
        </row>
        <row r="4155">
          <cell r="U4155">
            <v>126</v>
          </cell>
        </row>
        <row r="4156">
          <cell r="U4156">
            <v>42</v>
          </cell>
        </row>
        <row r="4157">
          <cell r="U4157">
            <v>630</v>
          </cell>
        </row>
        <row r="4158">
          <cell r="U4158">
            <v>126</v>
          </cell>
        </row>
        <row r="4159">
          <cell r="U4159">
            <v>126</v>
          </cell>
        </row>
        <row r="4160">
          <cell r="U4160">
            <v>210</v>
          </cell>
        </row>
        <row r="4161">
          <cell r="U4161">
            <v>126</v>
          </cell>
        </row>
        <row r="4162">
          <cell r="U4162">
            <v>126</v>
          </cell>
        </row>
        <row r="4163">
          <cell r="U4163">
            <v>126</v>
          </cell>
        </row>
        <row r="4164">
          <cell r="U4164">
            <v>126</v>
          </cell>
        </row>
        <row r="4165">
          <cell r="U4165">
            <v>126</v>
          </cell>
        </row>
        <row r="4166">
          <cell r="U4166">
            <v>126</v>
          </cell>
        </row>
        <row r="4167">
          <cell r="U4167">
            <v>42</v>
          </cell>
        </row>
        <row r="4168">
          <cell r="U4168">
            <v>126</v>
          </cell>
        </row>
        <row r="4169">
          <cell r="U4169">
            <v>42</v>
          </cell>
        </row>
        <row r="4170">
          <cell r="U4170">
            <v>20</v>
          </cell>
        </row>
        <row r="4171">
          <cell r="U4171">
            <v>20</v>
          </cell>
        </row>
        <row r="4172">
          <cell r="U4172">
            <v>20</v>
          </cell>
        </row>
        <row r="4173">
          <cell r="U4173">
            <v>2950</v>
          </cell>
        </row>
        <row r="4174">
          <cell r="U4174">
            <v>640</v>
          </cell>
        </row>
        <row r="4175">
          <cell r="U4175">
            <v>2665</v>
          </cell>
        </row>
        <row r="4176">
          <cell r="U4176">
            <v>12300</v>
          </cell>
        </row>
        <row r="4177">
          <cell r="U4177">
            <v>3950</v>
          </cell>
        </row>
        <row r="4178">
          <cell r="U4178">
            <v>3950</v>
          </cell>
        </row>
        <row r="4179">
          <cell r="U4179">
            <v>3950</v>
          </cell>
        </row>
        <row r="4180">
          <cell r="U4180">
            <v>3950</v>
          </cell>
        </row>
        <row r="4181">
          <cell r="U4181">
            <v>10000</v>
          </cell>
        </row>
        <row r="4182">
          <cell r="U4182">
            <v>12920</v>
          </cell>
        </row>
        <row r="4183">
          <cell r="U4183">
            <v>11700</v>
          </cell>
        </row>
        <row r="4184">
          <cell r="U4184">
            <v>6000</v>
          </cell>
        </row>
        <row r="4185">
          <cell r="U4185">
            <v>3000</v>
          </cell>
        </row>
        <row r="4186">
          <cell r="U4186">
            <v>8325</v>
          </cell>
        </row>
        <row r="4187">
          <cell r="U4187">
            <v>3500</v>
          </cell>
        </row>
        <row r="4188">
          <cell r="U4188">
            <v>3690.75</v>
          </cell>
        </row>
        <row r="4189">
          <cell r="U4189">
            <v>160.47999999999999</v>
          </cell>
        </row>
        <row r="4190">
          <cell r="U4190">
            <v>13.8</v>
          </cell>
        </row>
        <row r="4191">
          <cell r="U4191">
            <v>1368</v>
          </cell>
        </row>
        <row r="4192">
          <cell r="U4192">
            <v>2948.88</v>
          </cell>
        </row>
        <row r="4193">
          <cell r="U4193">
            <v>1236.5999999999999</v>
          </cell>
        </row>
        <row r="4194">
          <cell r="U4194">
            <v>2.46</v>
          </cell>
        </row>
        <row r="4195">
          <cell r="U4195">
            <v>269.04000000000002</v>
          </cell>
        </row>
        <row r="4196">
          <cell r="U4196">
            <v>101.4</v>
          </cell>
        </row>
        <row r="4197">
          <cell r="U4197">
            <v>1101.5999999999999</v>
          </cell>
        </row>
        <row r="4198">
          <cell r="U4198">
            <v>1332.8</v>
          </cell>
        </row>
        <row r="4199">
          <cell r="U4199">
            <v>1416.08</v>
          </cell>
        </row>
        <row r="4200">
          <cell r="U4200">
            <v>4689</v>
          </cell>
        </row>
        <row r="4201">
          <cell r="U4201">
            <v>4.42</v>
          </cell>
        </row>
        <row r="4202">
          <cell r="U4202">
            <v>51.52</v>
          </cell>
        </row>
        <row r="4203">
          <cell r="U4203">
            <v>6.5</v>
          </cell>
        </row>
        <row r="4204">
          <cell r="U4204">
            <v>157.5</v>
          </cell>
        </row>
        <row r="4205">
          <cell r="U4205">
            <v>1387</v>
          </cell>
        </row>
        <row r="4206">
          <cell r="U4206">
            <v>13.8</v>
          </cell>
        </row>
        <row r="4207">
          <cell r="U4207">
            <v>1064.8800000000001</v>
          </cell>
        </row>
        <row r="4208">
          <cell r="U4208">
            <v>59.16</v>
          </cell>
        </row>
        <row r="4209">
          <cell r="U4209">
            <v>304.3</v>
          </cell>
        </row>
        <row r="4210">
          <cell r="U4210">
            <v>4.95</v>
          </cell>
        </row>
        <row r="4211">
          <cell r="U4211">
            <v>3149.4</v>
          </cell>
        </row>
        <row r="4212">
          <cell r="U4212">
            <v>1050.5999999999999</v>
          </cell>
        </row>
        <row r="4213">
          <cell r="U4213">
            <v>822.8</v>
          </cell>
        </row>
        <row r="4214">
          <cell r="U4214">
            <v>4.1399999999999997</v>
          </cell>
        </row>
        <row r="4215">
          <cell r="U4215">
            <v>18499.5</v>
          </cell>
        </row>
        <row r="4216">
          <cell r="U4216">
            <v>2028.1</v>
          </cell>
        </row>
        <row r="4217">
          <cell r="U4217">
            <v>45.54</v>
          </cell>
        </row>
        <row r="4218">
          <cell r="U4218">
            <v>4898.3100000000004</v>
          </cell>
        </row>
        <row r="4219">
          <cell r="U4219">
            <v>1.02</v>
          </cell>
        </row>
        <row r="4220">
          <cell r="U4220">
            <v>4006.8</v>
          </cell>
        </row>
        <row r="4221">
          <cell r="U4221">
            <v>171.6</v>
          </cell>
        </row>
        <row r="4222">
          <cell r="U4222">
            <v>1154.06</v>
          </cell>
        </row>
        <row r="4223">
          <cell r="U4223">
            <v>21.32</v>
          </cell>
        </row>
        <row r="4224">
          <cell r="U4224">
            <v>1171.3</v>
          </cell>
        </row>
        <row r="4225">
          <cell r="U4225">
            <v>144.9</v>
          </cell>
        </row>
        <row r="4226">
          <cell r="U4226">
            <v>2417.75</v>
          </cell>
        </row>
        <row r="4227">
          <cell r="U4227">
            <v>855.78</v>
          </cell>
        </row>
        <row r="4228">
          <cell r="U4228">
            <v>1491.5</v>
          </cell>
        </row>
        <row r="4229">
          <cell r="U4229">
            <v>4731</v>
          </cell>
        </row>
        <row r="4230">
          <cell r="U4230">
            <v>1.38</v>
          </cell>
        </row>
        <row r="4231">
          <cell r="U4231">
            <v>151.80000000000001</v>
          </cell>
        </row>
        <row r="4232">
          <cell r="U4232">
            <v>1557.54</v>
          </cell>
        </row>
        <row r="4233">
          <cell r="U4233">
            <v>3.68</v>
          </cell>
        </row>
        <row r="4234">
          <cell r="U4234">
            <v>4513.5</v>
          </cell>
        </row>
        <row r="4235">
          <cell r="U4235">
            <v>1695.75</v>
          </cell>
        </row>
        <row r="4236">
          <cell r="U4236">
            <v>55.2</v>
          </cell>
        </row>
        <row r="4237">
          <cell r="U4237">
            <v>335.58</v>
          </cell>
        </row>
        <row r="4238">
          <cell r="U4238">
            <v>247.95</v>
          </cell>
        </row>
        <row r="4239">
          <cell r="U4239">
            <v>349.18</v>
          </cell>
        </row>
        <row r="4240">
          <cell r="U4240">
            <v>626.28</v>
          </cell>
        </row>
        <row r="4241">
          <cell r="U4241">
            <v>246.84</v>
          </cell>
        </row>
        <row r="4242">
          <cell r="U4242">
            <v>50.6</v>
          </cell>
        </row>
        <row r="4243">
          <cell r="U4243">
            <v>351.5</v>
          </cell>
        </row>
        <row r="4244">
          <cell r="U4244">
            <v>2203.1999999999998</v>
          </cell>
        </row>
        <row r="4245">
          <cell r="U4245">
            <v>22.54</v>
          </cell>
        </row>
        <row r="4246">
          <cell r="U4246">
            <v>1513.34</v>
          </cell>
        </row>
        <row r="4247">
          <cell r="U4247">
            <v>283.64999999999998</v>
          </cell>
        </row>
        <row r="4248">
          <cell r="U4248">
            <v>1111.5</v>
          </cell>
        </row>
        <row r="4249">
          <cell r="U4249">
            <v>172.05</v>
          </cell>
        </row>
        <row r="4250">
          <cell r="U4250">
            <v>414</v>
          </cell>
        </row>
        <row r="4251">
          <cell r="U4251">
            <v>103.85</v>
          </cell>
        </row>
        <row r="4252">
          <cell r="U4252">
            <v>486</v>
          </cell>
        </row>
        <row r="4253">
          <cell r="U4253">
            <v>558</v>
          </cell>
        </row>
        <row r="4254">
          <cell r="U4254">
            <v>69.13</v>
          </cell>
        </row>
        <row r="4255">
          <cell r="U4255">
            <v>1482</v>
          </cell>
        </row>
        <row r="4256">
          <cell r="U4256">
            <v>3023.62</v>
          </cell>
        </row>
        <row r="4257">
          <cell r="U4257">
            <v>418</v>
          </cell>
        </row>
        <row r="4258">
          <cell r="U4258">
            <v>20.7</v>
          </cell>
        </row>
        <row r="4259">
          <cell r="U4259">
            <v>466.48</v>
          </cell>
        </row>
        <row r="4260">
          <cell r="U4260">
            <v>19.32</v>
          </cell>
        </row>
        <row r="4261">
          <cell r="U4261">
            <v>1603.8</v>
          </cell>
        </row>
        <row r="4262">
          <cell r="U4262">
            <v>109.2</v>
          </cell>
        </row>
        <row r="4263">
          <cell r="U4263">
            <v>337.44</v>
          </cell>
        </row>
        <row r="4264">
          <cell r="U4264">
            <v>1583.4</v>
          </cell>
        </row>
        <row r="4265">
          <cell r="U4265">
            <v>17.22</v>
          </cell>
        </row>
        <row r="4266">
          <cell r="U4266">
            <v>151.38</v>
          </cell>
        </row>
        <row r="4267">
          <cell r="U4267">
            <v>591.26</v>
          </cell>
        </row>
        <row r="4268">
          <cell r="U4268">
            <v>1377</v>
          </cell>
        </row>
        <row r="4269">
          <cell r="U4269">
            <v>2694.83</v>
          </cell>
        </row>
        <row r="4270">
          <cell r="U4270">
            <v>10858.5</v>
          </cell>
        </row>
        <row r="4271">
          <cell r="U4271">
            <v>8359.1200000000008</v>
          </cell>
        </row>
        <row r="4272">
          <cell r="U4272">
            <v>857.48</v>
          </cell>
        </row>
        <row r="4273">
          <cell r="U4273">
            <v>11.04</v>
          </cell>
        </row>
        <row r="4274">
          <cell r="U4274">
            <v>1636.08</v>
          </cell>
        </row>
        <row r="4275">
          <cell r="U4275">
            <v>91.08</v>
          </cell>
        </row>
        <row r="4276">
          <cell r="U4276">
            <v>2646</v>
          </cell>
        </row>
        <row r="4277">
          <cell r="U4277">
            <v>438.26</v>
          </cell>
        </row>
        <row r="4278">
          <cell r="U4278">
            <v>1900</v>
          </cell>
        </row>
        <row r="4279">
          <cell r="U4279">
            <v>212.5</v>
          </cell>
        </row>
        <row r="4280">
          <cell r="U4280">
            <v>20.7</v>
          </cell>
        </row>
        <row r="4281">
          <cell r="U4281">
            <v>1933.25</v>
          </cell>
        </row>
        <row r="4282">
          <cell r="U4282">
            <v>175.5</v>
          </cell>
        </row>
        <row r="4283">
          <cell r="U4283">
            <v>105.71</v>
          </cell>
        </row>
        <row r="4284">
          <cell r="U4284">
            <v>490.5</v>
          </cell>
        </row>
        <row r="4285">
          <cell r="U4285">
            <v>124.31</v>
          </cell>
        </row>
        <row r="4286">
          <cell r="U4286">
            <v>1273.3</v>
          </cell>
        </row>
        <row r="4287">
          <cell r="U4287">
            <v>1216</v>
          </cell>
        </row>
        <row r="4288">
          <cell r="U4288">
            <v>842.86</v>
          </cell>
        </row>
        <row r="4289">
          <cell r="U4289">
            <v>280.14</v>
          </cell>
        </row>
        <row r="4290">
          <cell r="U4290">
            <v>34.5</v>
          </cell>
        </row>
        <row r="4291">
          <cell r="U4291">
            <v>704.48</v>
          </cell>
        </row>
        <row r="4292">
          <cell r="U4292">
            <v>44.16</v>
          </cell>
        </row>
        <row r="4293">
          <cell r="U4293">
            <v>1854.84</v>
          </cell>
        </row>
        <row r="4294">
          <cell r="U4294">
            <v>1318.18</v>
          </cell>
        </row>
        <row r="4295">
          <cell r="U4295">
            <v>2104.25</v>
          </cell>
        </row>
        <row r="4296">
          <cell r="U4296">
            <v>1843</v>
          </cell>
        </row>
        <row r="4297">
          <cell r="U4297">
            <v>2322.1999999999998</v>
          </cell>
        </row>
        <row r="4298">
          <cell r="U4298">
            <v>3201.78</v>
          </cell>
        </row>
        <row r="4299">
          <cell r="U4299">
            <v>38.18</v>
          </cell>
        </row>
        <row r="4300">
          <cell r="U4300">
            <v>11.96</v>
          </cell>
        </row>
        <row r="4301">
          <cell r="U4301">
            <v>522.58000000000004</v>
          </cell>
        </row>
        <row r="4302">
          <cell r="U4302">
            <v>12384</v>
          </cell>
        </row>
        <row r="4303">
          <cell r="U4303">
            <v>3.68</v>
          </cell>
        </row>
        <row r="4304">
          <cell r="U4304">
            <v>2800.23</v>
          </cell>
        </row>
        <row r="4305">
          <cell r="U4305">
            <v>901.8</v>
          </cell>
        </row>
        <row r="4306">
          <cell r="U4306">
            <v>524.28</v>
          </cell>
        </row>
        <row r="4307">
          <cell r="U4307">
            <v>4206.3999999999996</v>
          </cell>
        </row>
        <row r="4308">
          <cell r="U4308">
            <v>27.6</v>
          </cell>
        </row>
        <row r="4309">
          <cell r="U4309">
            <v>2660</v>
          </cell>
        </row>
        <row r="4310">
          <cell r="U4310">
            <v>351</v>
          </cell>
        </row>
        <row r="4311">
          <cell r="U4311">
            <v>508.5</v>
          </cell>
        </row>
        <row r="4312">
          <cell r="U4312">
            <v>81.53</v>
          </cell>
        </row>
        <row r="4313">
          <cell r="U4313">
            <v>135.47</v>
          </cell>
        </row>
        <row r="4314">
          <cell r="U4314">
            <v>2.76</v>
          </cell>
        </row>
        <row r="4315">
          <cell r="U4315">
            <v>2080.46</v>
          </cell>
        </row>
        <row r="4316">
          <cell r="U4316">
            <v>1006.4</v>
          </cell>
        </row>
        <row r="4317">
          <cell r="U4317">
            <v>40.479999999999997</v>
          </cell>
        </row>
        <row r="4318">
          <cell r="U4318">
            <v>649.4</v>
          </cell>
        </row>
        <row r="4319">
          <cell r="U4319">
            <v>7.82</v>
          </cell>
        </row>
        <row r="4320">
          <cell r="U4320">
            <v>1038.02</v>
          </cell>
        </row>
        <row r="4321">
          <cell r="U4321">
            <v>1334.75</v>
          </cell>
        </row>
        <row r="4322">
          <cell r="U4322">
            <v>2935.56</v>
          </cell>
        </row>
        <row r="4323">
          <cell r="U4323">
            <v>2560.25</v>
          </cell>
        </row>
        <row r="4324">
          <cell r="U4324">
            <v>1317.5</v>
          </cell>
        </row>
        <row r="4325">
          <cell r="U4325">
            <v>0.92</v>
          </cell>
        </row>
        <row r="4326">
          <cell r="U4326">
            <v>1058.76</v>
          </cell>
        </row>
        <row r="4327">
          <cell r="U4327">
            <v>2535.1799999999998</v>
          </cell>
        </row>
        <row r="4328">
          <cell r="U4328">
            <v>1896.6</v>
          </cell>
        </row>
        <row r="4329">
          <cell r="U4329">
            <v>1116.25</v>
          </cell>
        </row>
        <row r="4330">
          <cell r="U4330">
            <v>376.04</v>
          </cell>
        </row>
        <row r="4331">
          <cell r="U4331">
            <v>159.21</v>
          </cell>
        </row>
        <row r="4332">
          <cell r="U4332">
            <v>103.5</v>
          </cell>
        </row>
        <row r="4333">
          <cell r="U4333">
            <v>11470.5</v>
          </cell>
        </row>
        <row r="4334">
          <cell r="U4334">
            <v>2394</v>
          </cell>
        </row>
        <row r="4335">
          <cell r="U4335">
            <v>7</v>
          </cell>
        </row>
        <row r="4336">
          <cell r="U4336">
            <v>544.5</v>
          </cell>
        </row>
        <row r="4337">
          <cell r="U4337">
            <v>130.82</v>
          </cell>
        </row>
        <row r="4338">
          <cell r="U4338">
            <v>382.5</v>
          </cell>
        </row>
        <row r="4339">
          <cell r="U4339">
            <v>95.79</v>
          </cell>
        </row>
        <row r="4340">
          <cell r="U4340">
            <v>20.7</v>
          </cell>
        </row>
        <row r="4341">
          <cell r="U4341">
            <v>556.58000000000004</v>
          </cell>
        </row>
        <row r="4342">
          <cell r="U4342">
            <v>20.7</v>
          </cell>
        </row>
        <row r="4343">
          <cell r="U4343">
            <v>346.75</v>
          </cell>
        </row>
        <row r="4344">
          <cell r="U4344">
            <v>3162.34</v>
          </cell>
        </row>
        <row r="4345">
          <cell r="U4345">
            <v>1624.5</v>
          </cell>
        </row>
        <row r="4346">
          <cell r="U4346">
            <v>686.12</v>
          </cell>
        </row>
        <row r="4347">
          <cell r="U4347">
            <v>3306</v>
          </cell>
        </row>
        <row r="4348">
          <cell r="U4348">
            <v>12.88</v>
          </cell>
        </row>
        <row r="4349">
          <cell r="U4349">
            <v>972.74</v>
          </cell>
        </row>
        <row r="4350">
          <cell r="U4350">
            <v>4.1399999999999997</v>
          </cell>
        </row>
        <row r="4351">
          <cell r="U4351">
            <v>12276</v>
          </cell>
        </row>
        <row r="4352">
          <cell r="U4352">
            <v>2654.53</v>
          </cell>
        </row>
        <row r="4353">
          <cell r="U4353">
            <v>1961.46</v>
          </cell>
        </row>
        <row r="4354">
          <cell r="U4354">
            <v>46.92</v>
          </cell>
        </row>
        <row r="4355">
          <cell r="U4355">
            <v>341.04</v>
          </cell>
        </row>
        <row r="4356">
          <cell r="U4356">
            <v>784.04</v>
          </cell>
        </row>
        <row r="4357">
          <cell r="U4357">
            <v>283.22000000000003</v>
          </cell>
        </row>
        <row r="4358">
          <cell r="U4358">
            <v>48.3</v>
          </cell>
        </row>
        <row r="4359">
          <cell r="U4359">
            <v>1106.75</v>
          </cell>
        </row>
        <row r="4360">
          <cell r="U4360">
            <v>1653</v>
          </cell>
        </row>
        <row r="4361">
          <cell r="U4361">
            <v>1567.4</v>
          </cell>
        </row>
        <row r="4362">
          <cell r="U4362">
            <v>364.5</v>
          </cell>
        </row>
        <row r="4363">
          <cell r="U4363">
            <v>121.52</v>
          </cell>
        </row>
        <row r="4364">
          <cell r="U4364">
            <v>580.5</v>
          </cell>
        </row>
        <row r="4365">
          <cell r="U4365">
            <v>109.12</v>
          </cell>
        </row>
        <row r="4366">
          <cell r="U4366">
            <v>342</v>
          </cell>
        </row>
        <row r="4367">
          <cell r="U4367">
            <v>207</v>
          </cell>
        </row>
        <row r="4368">
          <cell r="U4368">
            <v>305.32</v>
          </cell>
        </row>
        <row r="4369">
          <cell r="U4369">
            <v>17.02</v>
          </cell>
        </row>
        <row r="4370">
          <cell r="U4370">
            <v>2301.75</v>
          </cell>
        </row>
        <row r="4371">
          <cell r="U4371">
            <v>11700</v>
          </cell>
        </row>
        <row r="4372">
          <cell r="U4372">
            <v>1928.79</v>
          </cell>
        </row>
        <row r="4373">
          <cell r="U4373">
            <v>1199.52</v>
          </cell>
        </row>
        <row r="4374">
          <cell r="U4374">
            <v>2395.64</v>
          </cell>
        </row>
        <row r="4375">
          <cell r="U4375">
            <v>34.5</v>
          </cell>
        </row>
        <row r="4376">
          <cell r="U4376">
            <v>1898.56</v>
          </cell>
        </row>
        <row r="4377">
          <cell r="U4377">
            <v>912</v>
          </cell>
        </row>
        <row r="4378">
          <cell r="U4378">
            <v>20.7</v>
          </cell>
        </row>
        <row r="4379">
          <cell r="U4379">
            <v>1.38</v>
          </cell>
        </row>
        <row r="4380">
          <cell r="U4380">
            <v>598.5</v>
          </cell>
        </row>
        <row r="4381">
          <cell r="U4381">
            <v>144.9</v>
          </cell>
        </row>
        <row r="4382">
          <cell r="U4382">
            <v>1871.5</v>
          </cell>
        </row>
        <row r="4383">
          <cell r="U4383">
            <v>287.64</v>
          </cell>
        </row>
        <row r="4384">
          <cell r="U4384">
            <v>134.85</v>
          </cell>
        </row>
        <row r="4385">
          <cell r="U4385">
            <v>24.84</v>
          </cell>
        </row>
        <row r="4386">
          <cell r="U4386">
            <v>717.25</v>
          </cell>
        </row>
        <row r="4387">
          <cell r="U4387">
            <v>1591.25</v>
          </cell>
        </row>
        <row r="4388">
          <cell r="U4388">
            <v>75.900000000000006</v>
          </cell>
        </row>
        <row r="4389">
          <cell r="U4389">
            <v>0.92</v>
          </cell>
        </row>
        <row r="4390">
          <cell r="U4390">
            <v>424.66</v>
          </cell>
        </row>
        <row r="4391">
          <cell r="U4391">
            <v>5.0599999999999996</v>
          </cell>
        </row>
        <row r="4392">
          <cell r="U4392">
            <v>2669</v>
          </cell>
        </row>
        <row r="4393">
          <cell r="U4393">
            <v>640.22</v>
          </cell>
        </row>
        <row r="4394">
          <cell r="U4394">
            <v>635.46</v>
          </cell>
        </row>
        <row r="4395">
          <cell r="U4395">
            <v>260.10000000000002</v>
          </cell>
        </row>
        <row r="4396">
          <cell r="U4396">
            <v>517.5</v>
          </cell>
        </row>
        <row r="4397">
          <cell r="U4397">
            <v>132.99</v>
          </cell>
        </row>
        <row r="4398">
          <cell r="U4398">
            <v>140.43</v>
          </cell>
        </row>
        <row r="4399">
          <cell r="U4399">
            <v>292.5</v>
          </cell>
        </row>
        <row r="4400">
          <cell r="U4400">
            <v>2310.7399999999998</v>
          </cell>
        </row>
        <row r="4401">
          <cell r="U4401">
            <v>399.84</v>
          </cell>
        </row>
        <row r="4402">
          <cell r="U4402">
            <v>903.38</v>
          </cell>
        </row>
        <row r="4403">
          <cell r="U4403">
            <v>11493</v>
          </cell>
        </row>
        <row r="4404">
          <cell r="U4404">
            <v>14.26</v>
          </cell>
        </row>
        <row r="4405">
          <cell r="U4405">
            <v>506.34</v>
          </cell>
        </row>
        <row r="4406">
          <cell r="U4406">
            <v>1182.75</v>
          </cell>
        </row>
        <row r="4407">
          <cell r="U4407">
            <v>62.1</v>
          </cell>
        </row>
        <row r="4408">
          <cell r="U4408">
            <v>495.38</v>
          </cell>
        </row>
        <row r="4409">
          <cell r="U4409">
            <v>1812.21</v>
          </cell>
        </row>
        <row r="4410">
          <cell r="U4410">
            <v>303.95999999999998</v>
          </cell>
        </row>
        <row r="4411">
          <cell r="U4411">
            <v>6.9</v>
          </cell>
        </row>
        <row r="4412">
          <cell r="U4412">
            <v>1288.26</v>
          </cell>
        </row>
        <row r="4413">
          <cell r="U4413">
            <v>158.69999999999999</v>
          </cell>
        </row>
        <row r="4414">
          <cell r="U4414">
            <v>845.5</v>
          </cell>
        </row>
        <row r="4415">
          <cell r="U4415">
            <v>84.64</v>
          </cell>
        </row>
        <row r="4416">
          <cell r="U4416">
            <v>1441.6</v>
          </cell>
        </row>
        <row r="4417">
          <cell r="U4417">
            <v>37.72</v>
          </cell>
        </row>
        <row r="4418">
          <cell r="U4418">
            <v>916.75</v>
          </cell>
        </row>
        <row r="4419">
          <cell r="U4419">
            <v>2349.7399999999998</v>
          </cell>
        </row>
        <row r="4420">
          <cell r="U4420">
            <v>2.76</v>
          </cell>
        </row>
        <row r="4421">
          <cell r="U4421">
            <v>1486.75</v>
          </cell>
        </row>
        <row r="4422">
          <cell r="U4422">
            <v>508.64</v>
          </cell>
        </row>
        <row r="4423">
          <cell r="U4423">
            <v>1230.25</v>
          </cell>
        </row>
        <row r="4424">
          <cell r="U4424">
            <v>234.6</v>
          </cell>
        </row>
        <row r="4425">
          <cell r="U4425">
            <v>308.72000000000003</v>
          </cell>
        </row>
        <row r="4426">
          <cell r="U4426">
            <v>37.26</v>
          </cell>
        </row>
        <row r="4427">
          <cell r="U4427">
            <v>1201.75</v>
          </cell>
        </row>
        <row r="4428">
          <cell r="U4428">
            <v>2861.78</v>
          </cell>
        </row>
        <row r="4429">
          <cell r="U4429">
            <v>702</v>
          </cell>
        </row>
        <row r="4430">
          <cell r="U4430">
            <v>99.2</v>
          </cell>
        </row>
        <row r="4431">
          <cell r="U4431">
            <v>409.5</v>
          </cell>
        </row>
        <row r="4432">
          <cell r="U4432">
            <v>116.56</v>
          </cell>
        </row>
        <row r="4433">
          <cell r="U4433">
            <v>1790.75</v>
          </cell>
        </row>
        <row r="4434">
          <cell r="U4434">
            <v>937.04</v>
          </cell>
        </row>
        <row r="4435">
          <cell r="U4435">
            <v>598.74</v>
          </cell>
        </row>
        <row r="4436">
          <cell r="U4436">
            <v>497.52</v>
          </cell>
        </row>
        <row r="4437">
          <cell r="U4437">
            <v>3116</v>
          </cell>
        </row>
        <row r="4438">
          <cell r="U4438">
            <v>2537.9699999999998</v>
          </cell>
        </row>
        <row r="4439">
          <cell r="U4439">
            <v>11002.5</v>
          </cell>
        </row>
        <row r="4440">
          <cell r="U4440">
            <v>17.940000000000001</v>
          </cell>
        </row>
        <row r="4441">
          <cell r="U4441">
            <v>465.12</v>
          </cell>
        </row>
        <row r="4442">
          <cell r="U4442">
            <v>0.99</v>
          </cell>
        </row>
        <row r="4443">
          <cell r="U4443">
            <v>144.9</v>
          </cell>
        </row>
        <row r="4444">
          <cell r="U4444">
            <v>1121</v>
          </cell>
        </row>
        <row r="4445">
          <cell r="U4445">
            <v>447.44</v>
          </cell>
        </row>
        <row r="4446">
          <cell r="U4446">
            <v>698.25</v>
          </cell>
        </row>
        <row r="4447">
          <cell r="U4447">
            <v>2267.8000000000002</v>
          </cell>
        </row>
        <row r="4448">
          <cell r="U4448">
            <v>1268.25</v>
          </cell>
        </row>
        <row r="4449">
          <cell r="U4449">
            <v>2454.46</v>
          </cell>
        </row>
        <row r="4450">
          <cell r="U4450">
            <v>1216</v>
          </cell>
        </row>
        <row r="4451">
          <cell r="U4451">
            <v>63.94</v>
          </cell>
        </row>
        <row r="4452">
          <cell r="U4452">
            <v>517.48</v>
          </cell>
        </row>
        <row r="4453">
          <cell r="U4453">
            <v>240206.04</v>
          </cell>
        </row>
        <row r="4454">
          <cell r="U4454">
            <v>53379.12</v>
          </cell>
        </row>
        <row r="4455">
          <cell r="U4455">
            <v>186826.92</v>
          </cell>
        </row>
        <row r="4456">
          <cell r="U4456">
            <v>162000</v>
          </cell>
        </row>
        <row r="4457">
          <cell r="U4457">
            <v>4131.87</v>
          </cell>
        </row>
        <row r="4458">
          <cell r="U4458">
            <v>4958.25</v>
          </cell>
        </row>
        <row r="4459">
          <cell r="U4459">
            <v>4958.25</v>
          </cell>
        </row>
        <row r="4460">
          <cell r="U4460">
            <v>4200</v>
          </cell>
        </row>
        <row r="4461">
          <cell r="U4461">
            <v>4200</v>
          </cell>
        </row>
        <row r="4462">
          <cell r="U4462">
            <v>4200</v>
          </cell>
        </row>
        <row r="4463">
          <cell r="U4463">
            <v>4200</v>
          </cell>
        </row>
        <row r="4464">
          <cell r="U4464">
            <v>8400</v>
          </cell>
        </row>
        <row r="4465">
          <cell r="U4465">
            <v>3250.39</v>
          </cell>
        </row>
        <row r="4466">
          <cell r="U4466">
            <v>3900.48</v>
          </cell>
        </row>
        <row r="4467">
          <cell r="U4467">
            <v>3900.48</v>
          </cell>
        </row>
        <row r="4468">
          <cell r="U4468">
            <v>2750</v>
          </cell>
        </row>
        <row r="4469">
          <cell r="U4469">
            <v>2750</v>
          </cell>
        </row>
        <row r="4470">
          <cell r="U4470">
            <v>2750</v>
          </cell>
        </row>
        <row r="4471">
          <cell r="U4471">
            <v>5500</v>
          </cell>
        </row>
        <row r="4472">
          <cell r="U4472">
            <v>6000</v>
          </cell>
        </row>
        <row r="4473">
          <cell r="U4473">
            <v>6000</v>
          </cell>
        </row>
        <row r="4474">
          <cell r="U4474">
            <v>19500</v>
          </cell>
        </row>
        <row r="4475">
          <cell r="U4475">
            <v>360</v>
          </cell>
        </row>
        <row r="4476">
          <cell r="U4476">
            <v>900</v>
          </cell>
        </row>
        <row r="4477">
          <cell r="U4477">
            <v>14625</v>
          </cell>
        </row>
        <row r="4478">
          <cell r="U4478">
            <v>20127</v>
          </cell>
        </row>
        <row r="4479">
          <cell r="U4479">
            <v>390</v>
          </cell>
        </row>
        <row r="4480">
          <cell r="U4480">
            <v>975</v>
          </cell>
        </row>
        <row r="4481">
          <cell r="U4481">
            <v>390</v>
          </cell>
        </row>
        <row r="4482">
          <cell r="U4482">
            <v>780</v>
          </cell>
        </row>
        <row r="4483">
          <cell r="U4483">
            <v>390</v>
          </cell>
        </row>
        <row r="4484">
          <cell r="U4484">
            <v>780</v>
          </cell>
        </row>
        <row r="4485">
          <cell r="U4485">
            <v>975</v>
          </cell>
        </row>
        <row r="4486">
          <cell r="U4486">
            <v>780</v>
          </cell>
        </row>
        <row r="4487">
          <cell r="U4487">
            <v>780</v>
          </cell>
        </row>
        <row r="4488">
          <cell r="U4488">
            <v>5500</v>
          </cell>
        </row>
        <row r="4489">
          <cell r="U4489">
            <v>2400</v>
          </cell>
        </row>
        <row r="4490">
          <cell r="U4490">
            <v>2400</v>
          </cell>
        </row>
        <row r="4491">
          <cell r="U4491">
            <v>1200</v>
          </cell>
        </row>
        <row r="4492">
          <cell r="U4492">
            <v>1200</v>
          </cell>
        </row>
        <row r="4493">
          <cell r="U4493">
            <v>2400</v>
          </cell>
        </row>
        <row r="4494">
          <cell r="U4494">
            <v>1800</v>
          </cell>
        </row>
        <row r="4495">
          <cell r="U4495">
            <v>2400</v>
          </cell>
        </row>
        <row r="4496">
          <cell r="U4496">
            <v>2400</v>
          </cell>
        </row>
        <row r="4497">
          <cell r="U4497">
            <v>2400</v>
          </cell>
        </row>
        <row r="4498">
          <cell r="U4498">
            <v>2400</v>
          </cell>
        </row>
        <row r="4499">
          <cell r="U4499">
            <v>1560</v>
          </cell>
        </row>
        <row r="4500">
          <cell r="U4500">
            <v>2400</v>
          </cell>
        </row>
        <row r="4501">
          <cell r="U4501">
            <v>12000</v>
          </cell>
        </row>
        <row r="4502">
          <cell r="U4502">
            <v>2288</v>
          </cell>
        </row>
        <row r="4503">
          <cell r="U4503">
            <v>12500</v>
          </cell>
        </row>
        <row r="4504">
          <cell r="U4504">
            <v>3750</v>
          </cell>
        </row>
        <row r="4505">
          <cell r="U4505">
            <v>375</v>
          </cell>
        </row>
        <row r="4506">
          <cell r="U4506">
            <v>40</v>
          </cell>
        </row>
        <row r="4507">
          <cell r="U4507">
            <v>350</v>
          </cell>
        </row>
        <row r="4508">
          <cell r="U4508">
            <v>300</v>
          </cell>
        </row>
        <row r="4509">
          <cell r="U4509">
            <v>1150</v>
          </cell>
        </row>
        <row r="4510">
          <cell r="U4510">
            <v>167587.79999999999</v>
          </cell>
        </row>
        <row r="4511">
          <cell r="U4511">
            <v>138097.87</v>
          </cell>
        </row>
        <row r="4512">
          <cell r="U4512">
            <v>48811.95</v>
          </cell>
        </row>
        <row r="4513">
          <cell r="U4513">
            <v>104042.1</v>
          </cell>
        </row>
        <row r="4514">
          <cell r="U4514">
            <v>24750</v>
          </cell>
        </row>
        <row r="4515">
          <cell r="U4515">
            <v>49500</v>
          </cell>
        </row>
        <row r="4516">
          <cell r="U4516">
            <v>30500</v>
          </cell>
        </row>
        <row r="4517">
          <cell r="U4517">
            <v>15250</v>
          </cell>
        </row>
        <row r="4518">
          <cell r="U4518">
            <v>119850</v>
          </cell>
        </row>
        <row r="4519">
          <cell r="U4519">
            <v>224250</v>
          </cell>
        </row>
        <row r="4520">
          <cell r="U4520">
            <v>224250</v>
          </cell>
        </row>
        <row r="4521">
          <cell r="U4521">
            <v>179400</v>
          </cell>
        </row>
        <row r="4522">
          <cell r="U4522">
            <v>156975</v>
          </cell>
        </row>
        <row r="4523">
          <cell r="U4523">
            <v>44850</v>
          </cell>
        </row>
        <row r="4524">
          <cell r="U4524">
            <v>26000</v>
          </cell>
        </row>
        <row r="4525">
          <cell r="U4525">
            <v>17500</v>
          </cell>
        </row>
        <row r="4526">
          <cell r="U4526">
            <v>9000</v>
          </cell>
        </row>
        <row r="4527">
          <cell r="U4527">
            <v>9000</v>
          </cell>
        </row>
        <row r="4528">
          <cell r="U4528">
            <v>525</v>
          </cell>
        </row>
        <row r="4529">
          <cell r="U4529">
            <v>39000</v>
          </cell>
        </row>
        <row r="4530">
          <cell r="U4530">
            <v>36720</v>
          </cell>
        </row>
        <row r="4531">
          <cell r="U4531">
            <v>25726</v>
          </cell>
        </row>
        <row r="4532">
          <cell r="U4532">
            <v>2325</v>
          </cell>
        </row>
        <row r="4533">
          <cell r="U4533">
            <v>2325</v>
          </cell>
        </row>
        <row r="4534">
          <cell r="U4534">
            <v>540</v>
          </cell>
        </row>
        <row r="4535">
          <cell r="U4535">
            <v>62360</v>
          </cell>
        </row>
        <row r="4536">
          <cell r="U4536">
            <v>15514</v>
          </cell>
        </row>
        <row r="4537">
          <cell r="U4537">
            <v>7757</v>
          </cell>
        </row>
        <row r="4538">
          <cell r="U4538">
            <v>2450</v>
          </cell>
        </row>
        <row r="4539">
          <cell r="U4539">
            <v>2450</v>
          </cell>
        </row>
        <row r="4540">
          <cell r="U4540">
            <v>12300</v>
          </cell>
        </row>
        <row r="4541">
          <cell r="U4541">
            <v>12300</v>
          </cell>
        </row>
        <row r="4542">
          <cell r="U4542">
            <v>9000</v>
          </cell>
        </row>
        <row r="4543">
          <cell r="U4543">
            <v>9000</v>
          </cell>
        </row>
        <row r="4544">
          <cell r="U4544">
            <v>2500</v>
          </cell>
        </row>
        <row r="4545">
          <cell r="U4545">
            <v>1250</v>
          </cell>
        </row>
        <row r="4546">
          <cell r="U4546">
            <v>5450</v>
          </cell>
        </row>
        <row r="4547">
          <cell r="U4547">
            <v>183880.75</v>
          </cell>
        </row>
        <row r="4548">
          <cell r="U4548">
            <v>196461.67</v>
          </cell>
        </row>
        <row r="4549">
          <cell r="U4549">
            <v>28619.5</v>
          </cell>
        </row>
        <row r="4550">
          <cell r="U4550">
            <v>33347.17</v>
          </cell>
        </row>
        <row r="4551">
          <cell r="U4551">
            <v>71250</v>
          </cell>
        </row>
        <row r="4552">
          <cell r="U4552">
            <v>17820</v>
          </cell>
        </row>
        <row r="4553">
          <cell r="U4553">
            <v>100980</v>
          </cell>
        </row>
        <row r="4554">
          <cell r="U4554">
            <v>4200</v>
          </cell>
        </row>
        <row r="4555">
          <cell r="U4555">
            <v>24755.1</v>
          </cell>
        </row>
        <row r="4556">
          <cell r="U4556">
            <v>8900</v>
          </cell>
        </row>
        <row r="4557">
          <cell r="U4557">
            <v>4557</v>
          </cell>
        </row>
        <row r="4558">
          <cell r="U4558">
            <v>4650</v>
          </cell>
        </row>
        <row r="4559">
          <cell r="U4559">
            <v>132788.5</v>
          </cell>
        </row>
        <row r="4560">
          <cell r="U4560">
            <v>94619</v>
          </cell>
        </row>
        <row r="4561">
          <cell r="U4561">
            <v>14888.16</v>
          </cell>
        </row>
        <row r="4562">
          <cell r="U4562">
            <v>59000</v>
          </cell>
        </row>
        <row r="4563">
          <cell r="U4563">
            <v>37173.9</v>
          </cell>
        </row>
        <row r="4564">
          <cell r="U4564">
            <v>278108</v>
          </cell>
        </row>
        <row r="4565">
          <cell r="U4565">
            <v>4950</v>
          </cell>
        </row>
        <row r="4566">
          <cell r="U4566">
            <v>3780</v>
          </cell>
        </row>
        <row r="4567">
          <cell r="U4567">
            <v>1575</v>
          </cell>
        </row>
        <row r="4568">
          <cell r="U4568">
            <v>3300</v>
          </cell>
        </row>
        <row r="4569">
          <cell r="U4569">
            <v>3300</v>
          </cell>
        </row>
        <row r="4570">
          <cell r="U4570">
            <v>3300</v>
          </cell>
        </row>
        <row r="4571">
          <cell r="U4571">
            <v>4125</v>
          </cell>
        </row>
        <row r="4572">
          <cell r="U4572">
            <v>4125</v>
          </cell>
        </row>
        <row r="4573">
          <cell r="U4573">
            <v>4125</v>
          </cell>
        </row>
        <row r="4574">
          <cell r="U4574">
            <v>4125</v>
          </cell>
        </row>
        <row r="4575">
          <cell r="U4575">
            <v>4125</v>
          </cell>
        </row>
        <row r="4576">
          <cell r="U4576">
            <v>4125</v>
          </cell>
        </row>
        <row r="4577">
          <cell r="U4577">
            <v>4125</v>
          </cell>
        </row>
        <row r="4578">
          <cell r="U4578">
            <v>4125</v>
          </cell>
        </row>
        <row r="4579">
          <cell r="U4579">
            <v>55080</v>
          </cell>
        </row>
        <row r="4580">
          <cell r="U4580">
            <v>81272.5</v>
          </cell>
        </row>
        <row r="4581">
          <cell r="U4581">
            <v>754276</v>
          </cell>
        </row>
        <row r="4582">
          <cell r="U4582">
            <v>120000</v>
          </cell>
        </row>
        <row r="4583">
          <cell r="U4583">
            <v>18376</v>
          </cell>
        </row>
        <row r="4584">
          <cell r="U4584">
            <v>3245</v>
          </cell>
        </row>
        <row r="4585">
          <cell r="U4585">
            <v>1600</v>
          </cell>
        </row>
        <row r="4586">
          <cell r="U4586">
            <v>17886.689999999999</v>
          </cell>
        </row>
        <row r="4587">
          <cell r="U4587">
            <v>29450</v>
          </cell>
        </row>
        <row r="4588">
          <cell r="U4588">
            <v>74400</v>
          </cell>
        </row>
        <row r="4589">
          <cell r="U4589">
            <v>134000</v>
          </cell>
        </row>
        <row r="4590">
          <cell r="U4590">
            <v>134000</v>
          </cell>
        </row>
        <row r="4591">
          <cell r="U4591">
            <v>81641.100000000006</v>
          </cell>
        </row>
        <row r="4592">
          <cell r="U4592">
            <v>19960</v>
          </cell>
        </row>
        <row r="4593">
          <cell r="U4593">
            <v>4780</v>
          </cell>
        </row>
        <row r="4594">
          <cell r="U4594">
            <v>956</v>
          </cell>
        </row>
        <row r="4595">
          <cell r="U4595">
            <v>7900</v>
          </cell>
        </row>
        <row r="4596">
          <cell r="U4596">
            <v>37215.72</v>
          </cell>
        </row>
        <row r="4597">
          <cell r="U4597">
            <v>3810</v>
          </cell>
        </row>
        <row r="4598">
          <cell r="U4598">
            <v>2115</v>
          </cell>
        </row>
        <row r="4599">
          <cell r="U4599">
            <v>4230</v>
          </cell>
        </row>
        <row r="4600">
          <cell r="U4600">
            <v>5080</v>
          </cell>
        </row>
        <row r="4601">
          <cell r="U4601">
            <v>5080</v>
          </cell>
        </row>
        <row r="4602">
          <cell r="U4602">
            <v>4230</v>
          </cell>
        </row>
        <row r="4603">
          <cell r="U4603">
            <v>3390</v>
          </cell>
        </row>
        <row r="4604">
          <cell r="U4604">
            <v>4230</v>
          </cell>
        </row>
        <row r="4605">
          <cell r="U4605">
            <v>2540</v>
          </cell>
        </row>
        <row r="4606">
          <cell r="U4606">
            <v>4230</v>
          </cell>
        </row>
        <row r="4607">
          <cell r="U4607">
            <v>77696</v>
          </cell>
        </row>
        <row r="4608">
          <cell r="U4608">
            <v>6591.15</v>
          </cell>
        </row>
        <row r="4609">
          <cell r="U4609">
            <v>6591.15</v>
          </cell>
        </row>
        <row r="4610">
          <cell r="U4610">
            <v>35482.5</v>
          </cell>
        </row>
        <row r="4611">
          <cell r="U4611">
            <v>15065.52</v>
          </cell>
        </row>
        <row r="4612">
          <cell r="U4612">
            <v>17143.53</v>
          </cell>
        </row>
        <row r="4613">
          <cell r="U4613">
            <v>16831.830000000002</v>
          </cell>
        </row>
        <row r="4614">
          <cell r="U4614">
            <v>17559.12</v>
          </cell>
        </row>
        <row r="4615">
          <cell r="U4615">
            <v>16497.45</v>
          </cell>
        </row>
        <row r="4616">
          <cell r="U4616">
            <v>20827.3</v>
          </cell>
        </row>
        <row r="4617">
          <cell r="U4617">
            <v>45170.6</v>
          </cell>
        </row>
        <row r="4618">
          <cell r="U4618">
            <v>12750</v>
          </cell>
        </row>
        <row r="4619">
          <cell r="U4619">
            <v>42840</v>
          </cell>
        </row>
        <row r="4620">
          <cell r="U4620">
            <v>39785</v>
          </cell>
        </row>
        <row r="4621">
          <cell r="U4621">
            <v>8195</v>
          </cell>
        </row>
        <row r="4622">
          <cell r="U4622">
            <v>37860</v>
          </cell>
        </row>
        <row r="4623">
          <cell r="U4623">
            <v>37860</v>
          </cell>
        </row>
        <row r="4624">
          <cell r="U4624">
            <v>22036.2</v>
          </cell>
        </row>
        <row r="4625">
          <cell r="U4625">
            <v>118350</v>
          </cell>
        </row>
        <row r="4626">
          <cell r="U4626">
            <v>3041.04</v>
          </cell>
        </row>
        <row r="4627">
          <cell r="U4627">
            <v>15358.02</v>
          </cell>
        </row>
        <row r="4628">
          <cell r="U4628">
            <v>8152.2</v>
          </cell>
        </row>
        <row r="4629">
          <cell r="U4629">
            <v>10584</v>
          </cell>
        </row>
        <row r="4630">
          <cell r="U4630">
            <v>11540.48</v>
          </cell>
        </row>
        <row r="4631">
          <cell r="U4631">
            <v>3000</v>
          </cell>
        </row>
        <row r="4632">
          <cell r="U4632">
            <v>77921.81</v>
          </cell>
        </row>
        <row r="4633">
          <cell r="U4633">
            <v>92000</v>
          </cell>
        </row>
        <row r="4634">
          <cell r="U4634">
            <v>62450</v>
          </cell>
        </row>
        <row r="4635">
          <cell r="U4635">
            <v>5000</v>
          </cell>
        </row>
        <row r="4636">
          <cell r="U4636">
            <v>18000</v>
          </cell>
        </row>
        <row r="4637">
          <cell r="U4637">
            <v>18000</v>
          </cell>
        </row>
        <row r="4638">
          <cell r="U4638">
            <v>18000</v>
          </cell>
        </row>
        <row r="4639">
          <cell r="U4639">
            <v>11250</v>
          </cell>
        </row>
        <row r="4640">
          <cell r="U4640">
            <v>18750</v>
          </cell>
        </row>
        <row r="4641">
          <cell r="U4641">
            <v>18750</v>
          </cell>
        </row>
        <row r="4642">
          <cell r="U4642">
            <v>35550</v>
          </cell>
        </row>
        <row r="4643">
          <cell r="U4643">
            <v>19350</v>
          </cell>
        </row>
        <row r="4644">
          <cell r="U4644">
            <v>123424</v>
          </cell>
        </row>
        <row r="4645">
          <cell r="U4645">
            <v>5600</v>
          </cell>
        </row>
        <row r="4646">
          <cell r="U4646">
            <v>168130.5</v>
          </cell>
        </row>
        <row r="4647">
          <cell r="U4647">
            <v>20835.599999999999</v>
          </cell>
        </row>
        <row r="4648">
          <cell r="U4648">
            <v>30600</v>
          </cell>
        </row>
        <row r="4649">
          <cell r="U4649">
            <v>15345.6</v>
          </cell>
        </row>
        <row r="4650">
          <cell r="U4650">
            <v>33120</v>
          </cell>
        </row>
        <row r="4651">
          <cell r="U4651">
            <v>14167.35</v>
          </cell>
        </row>
        <row r="4652">
          <cell r="U4652">
            <v>85263</v>
          </cell>
        </row>
        <row r="4653">
          <cell r="U4653">
            <v>85263</v>
          </cell>
        </row>
        <row r="4654">
          <cell r="U4654">
            <v>73920</v>
          </cell>
        </row>
        <row r="4655">
          <cell r="U4655">
            <v>15500</v>
          </cell>
        </row>
        <row r="4656">
          <cell r="U4656">
            <v>4440</v>
          </cell>
        </row>
        <row r="4657">
          <cell r="U4657">
            <v>740</v>
          </cell>
        </row>
        <row r="4658">
          <cell r="U4658">
            <v>52865</v>
          </cell>
        </row>
        <row r="4659">
          <cell r="U4659">
            <v>125000</v>
          </cell>
        </row>
        <row r="4660">
          <cell r="U4660">
            <v>43850</v>
          </cell>
        </row>
        <row r="4661">
          <cell r="U4661">
            <v>1292000</v>
          </cell>
        </row>
        <row r="4662">
          <cell r="U4662">
            <v>600000</v>
          </cell>
        </row>
        <row r="4663">
          <cell r="U4663">
            <v>72747.360000000001</v>
          </cell>
        </row>
        <row r="4664">
          <cell r="U4664">
            <v>26410</v>
          </cell>
        </row>
        <row r="4665">
          <cell r="U4665">
            <v>172000</v>
          </cell>
        </row>
        <row r="4666">
          <cell r="U4666">
            <v>86000</v>
          </cell>
        </row>
        <row r="4667">
          <cell r="U4667">
            <v>118350</v>
          </cell>
        </row>
        <row r="4668">
          <cell r="U4668">
            <v>14117.4</v>
          </cell>
        </row>
        <row r="4669">
          <cell r="U4669">
            <v>5494</v>
          </cell>
        </row>
        <row r="4670">
          <cell r="U4670">
            <v>1250</v>
          </cell>
        </row>
        <row r="4671">
          <cell r="U4671">
            <v>2750</v>
          </cell>
        </row>
        <row r="4672">
          <cell r="U4672">
            <v>7800</v>
          </cell>
        </row>
        <row r="4673">
          <cell r="U4673">
            <v>2242</v>
          </cell>
        </row>
        <row r="4674">
          <cell r="U4674">
            <v>8600</v>
          </cell>
        </row>
        <row r="4675">
          <cell r="U4675">
            <v>5500</v>
          </cell>
        </row>
        <row r="4676">
          <cell r="U4676">
            <v>2650</v>
          </cell>
        </row>
        <row r="4677">
          <cell r="U4677">
            <v>47832.5</v>
          </cell>
        </row>
        <row r="4678">
          <cell r="U4678">
            <v>95665</v>
          </cell>
        </row>
        <row r="4679">
          <cell r="U4679">
            <v>46825.5</v>
          </cell>
        </row>
        <row r="4680">
          <cell r="U4680">
            <v>93651</v>
          </cell>
        </row>
        <row r="4681">
          <cell r="U4681">
            <v>25200</v>
          </cell>
        </row>
        <row r="4682">
          <cell r="U4682">
            <v>31500</v>
          </cell>
        </row>
        <row r="4683">
          <cell r="U4683">
            <v>24000</v>
          </cell>
        </row>
        <row r="4684">
          <cell r="U4684">
            <v>3000</v>
          </cell>
        </row>
        <row r="4685">
          <cell r="U4685">
            <v>45000</v>
          </cell>
        </row>
        <row r="4686">
          <cell r="U4686">
            <v>3500</v>
          </cell>
        </row>
        <row r="4687">
          <cell r="U4687">
            <v>1400</v>
          </cell>
        </row>
        <row r="4688">
          <cell r="U4688">
            <v>5600</v>
          </cell>
        </row>
        <row r="4689">
          <cell r="U4689">
            <v>2125</v>
          </cell>
        </row>
        <row r="4690">
          <cell r="U4690">
            <v>3250</v>
          </cell>
        </row>
        <row r="4691">
          <cell r="U4691">
            <v>3250</v>
          </cell>
        </row>
        <row r="4692">
          <cell r="U4692">
            <v>19600</v>
          </cell>
        </row>
        <row r="4693">
          <cell r="U4693">
            <v>2450</v>
          </cell>
        </row>
        <row r="4694">
          <cell r="U4694">
            <v>450</v>
          </cell>
        </row>
        <row r="4695">
          <cell r="U4695">
            <v>33920</v>
          </cell>
        </row>
        <row r="4696">
          <cell r="U4696">
            <v>2748</v>
          </cell>
        </row>
        <row r="4697">
          <cell r="U4697">
            <v>47500</v>
          </cell>
        </row>
        <row r="4698">
          <cell r="U4698">
            <v>19237.5</v>
          </cell>
        </row>
        <row r="4699">
          <cell r="U4699">
            <v>200847</v>
          </cell>
        </row>
        <row r="4700">
          <cell r="U4700">
            <v>110175</v>
          </cell>
        </row>
        <row r="4701">
          <cell r="U4701">
            <v>235</v>
          </cell>
        </row>
        <row r="4702">
          <cell r="U4702">
            <v>32900</v>
          </cell>
        </row>
        <row r="4703">
          <cell r="U4703">
            <v>24675</v>
          </cell>
        </row>
        <row r="4704">
          <cell r="U4704">
            <v>24675</v>
          </cell>
        </row>
        <row r="4705">
          <cell r="U4705">
            <v>9450</v>
          </cell>
        </row>
        <row r="4706">
          <cell r="U4706">
            <v>12425</v>
          </cell>
        </row>
        <row r="4707">
          <cell r="U4707">
            <v>39165</v>
          </cell>
        </row>
        <row r="4708">
          <cell r="U4708">
            <v>13055</v>
          </cell>
        </row>
        <row r="4709">
          <cell r="U4709">
            <v>7875</v>
          </cell>
        </row>
        <row r="4710">
          <cell r="U4710">
            <v>7875</v>
          </cell>
        </row>
        <row r="4711">
          <cell r="U4711">
            <v>7875</v>
          </cell>
        </row>
        <row r="4712">
          <cell r="U4712">
            <v>17325</v>
          </cell>
        </row>
        <row r="4713">
          <cell r="U4713">
            <v>7425</v>
          </cell>
        </row>
        <row r="4714">
          <cell r="U4714">
            <v>14850</v>
          </cell>
        </row>
        <row r="4715">
          <cell r="U4715">
            <v>34650</v>
          </cell>
        </row>
        <row r="4716">
          <cell r="U4716">
            <v>24750</v>
          </cell>
        </row>
        <row r="4717">
          <cell r="U4717">
            <v>99000</v>
          </cell>
        </row>
        <row r="4718">
          <cell r="U4718">
            <v>27502.5</v>
          </cell>
        </row>
        <row r="4719">
          <cell r="U4719">
            <v>288.85000000000002</v>
          </cell>
        </row>
        <row r="4720">
          <cell r="U4720">
            <v>111300</v>
          </cell>
        </row>
        <row r="4721">
          <cell r="U4721">
            <v>34986</v>
          </cell>
        </row>
        <row r="4722">
          <cell r="U4722">
            <v>169200</v>
          </cell>
        </row>
        <row r="4723">
          <cell r="U4723">
            <v>20732.490000000002</v>
          </cell>
        </row>
        <row r="4724">
          <cell r="U4724">
            <v>14904</v>
          </cell>
        </row>
        <row r="4725">
          <cell r="U4725">
            <v>11720</v>
          </cell>
        </row>
        <row r="4726">
          <cell r="U4726">
            <v>5860</v>
          </cell>
        </row>
        <row r="4727">
          <cell r="U4727">
            <v>8500</v>
          </cell>
        </row>
        <row r="4728">
          <cell r="U4728">
            <v>668736</v>
          </cell>
        </row>
        <row r="4729">
          <cell r="U4729">
            <v>723168</v>
          </cell>
        </row>
        <row r="4730">
          <cell r="U4730">
            <v>250000</v>
          </cell>
        </row>
        <row r="4731">
          <cell r="U4731">
            <v>4480</v>
          </cell>
        </row>
        <row r="4732">
          <cell r="U4732">
            <v>2190</v>
          </cell>
        </row>
        <row r="4733">
          <cell r="U4733">
            <v>21967.8</v>
          </cell>
        </row>
        <row r="4734">
          <cell r="U4734">
            <v>116204</v>
          </cell>
        </row>
        <row r="4735">
          <cell r="U4735">
            <v>3200000</v>
          </cell>
        </row>
        <row r="4736">
          <cell r="U4736">
            <v>7687.1</v>
          </cell>
        </row>
        <row r="4737">
          <cell r="U4737">
            <v>28218.45</v>
          </cell>
        </row>
        <row r="4738">
          <cell r="U4738">
            <v>11000</v>
          </cell>
        </row>
        <row r="4739">
          <cell r="U4739">
            <v>9750</v>
          </cell>
        </row>
        <row r="4740">
          <cell r="U4740">
            <v>37000.800000000003</v>
          </cell>
        </row>
        <row r="4741">
          <cell r="U4741">
            <v>3000</v>
          </cell>
        </row>
        <row r="4742">
          <cell r="U4742">
            <v>12000</v>
          </cell>
        </row>
        <row r="4743">
          <cell r="U4743">
            <v>30000</v>
          </cell>
        </row>
        <row r="4744">
          <cell r="U4744">
            <v>19500</v>
          </cell>
        </row>
        <row r="4745">
          <cell r="U4745">
            <v>19500</v>
          </cell>
        </row>
        <row r="4746">
          <cell r="U4746">
            <v>17178</v>
          </cell>
        </row>
        <row r="4747">
          <cell r="U4747">
            <v>8589</v>
          </cell>
        </row>
        <row r="4748">
          <cell r="U4748">
            <v>10440</v>
          </cell>
        </row>
        <row r="4749">
          <cell r="U4749">
            <v>159300</v>
          </cell>
        </row>
        <row r="4750">
          <cell r="U4750">
            <v>98277.54</v>
          </cell>
        </row>
        <row r="4751">
          <cell r="U4751">
            <v>9216</v>
          </cell>
        </row>
        <row r="4752">
          <cell r="U4752">
            <v>7998.93</v>
          </cell>
        </row>
        <row r="4753">
          <cell r="U4753">
            <v>8160</v>
          </cell>
        </row>
        <row r="4754">
          <cell r="U4754">
            <v>144</v>
          </cell>
        </row>
        <row r="4755">
          <cell r="U4755">
            <v>240</v>
          </cell>
        </row>
        <row r="4756">
          <cell r="U4756">
            <v>34800</v>
          </cell>
        </row>
        <row r="4757">
          <cell r="U4757">
            <v>7000</v>
          </cell>
        </row>
        <row r="4758">
          <cell r="U4758">
            <v>7900</v>
          </cell>
        </row>
        <row r="4759">
          <cell r="U4759">
            <v>10750</v>
          </cell>
        </row>
        <row r="4760">
          <cell r="U4760">
            <v>66669.75</v>
          </cell>
        </row>
        <row r="4761">
          <cell r="U4761">
            <v>52489.2</v>
          </cell>
        </row>
        <row r="4762">
          <cell r="U4762">
            <v>39366.9</v>
          </cell>
        </row>
        <row r="4763">
          <cell r="U4763">
            <v>19425</v>
          </cell>
        </row>
        <row r="4764">
          <cell r="U4764">
            <v>26300</v>
          </cell>
        </row>
        <row r="4765">
          <cell r="U4765">
            <v>26300</v>
          </cell>
        </row>
        <row r="4766">
          <cell r="U4766">
            <v>78000</v>
          </cell>
        </row>
        <row r="4767">
          <cell r="U4767">
            <v>5980.26</v>
          </cell>
        </row>
        <row r="4768">
          <cell r="U4768">
            <v>2042.64</v>
          </cell>
        </row>
        <row r="4769">
          <cell r="U4769">
            <v>1711.54</v>
          </cell>
        </row>
        <row r="4770">
          <cell r="U4770">
            <v>4596</v>
          </cell>
        </row>
        <row r="4771">
          <cell r="U4771">
            <v>16368</v>
          </cell>
        </row>
        <row r="4772">
          <cell r="U4772">
            <v>16050</v>
          </cell>
        </row>
        <row r="4773">
          <cell r="U4773">
            <v>16050</v>
          </cell>
        </row>
        <row r="4774">
          <cell r="U4774">
            <v>53010</v>
          </cell>
        </row>
        <row r="4775">
          <cell r="U4775">
            <v>5890</v>
          </cell>
        </row>
        <row r="4776">
          <cell r="U4776">
            <v>16222.5</v>
          </cell>
        </row>
        <row r="4777">
          <cell r="U4777">
            <v>16222.5</v>
          </cell>
        </row>
        <row r="4778">
          <cell r="U4778">
            <v>9371</v>
          </cell>
        </row>
        <row r="4779">
          <cell r="U4779">
            <v>4125</v>
          </cell>
        </row>
        <row r="4780">
          <cell r="U4780">
            <v>10000</v>
          </cell>
        </row>
        <row r="4781">
          <cell r="U4781">
            <v>76001.14</v>
          </cell>
        </row>
        <row r="4782">
          <cell r="U4782">
            <v>14672.74</v>
          </cell>
        </row>
        <row r="4783">
          <cell r="U4783">
            <v>168300</v>
          </cell>
        </row>
        <row r="4784">
          <cell r="U4784">
            <v>120000</v>
          </cell>
        </row>
        <row r="4785">
          <cell r="U4785">
            <v>144600</v>
          </cell>
        </row>
        <row r="4786">
          <cell r="U4786">
            <v>37000</v>
          </cell>
        </row>
        <row r="4787">
          <cell r="U4787">
            <v>1520.55</v>
          </cell>
        </row>
        <row r="4788">
          <cell r="U4788">
            <v>4575.6000000000004</v>
          </cell>
        </row>
        <row r="4789">
          <cell r="U4789">
            <v>2808.6</v>
          </cell>
        </row>
        <row r="4790">
          <cell r="U4790">
            <v>430</v>
          </cell>
        </row>
        <row r="4791">
          <cell r="U4791">
            <v>850</v>
          </cell>
        </row>
        <row r="4792">
          <cell r="U4792">
            <v>198000</v>
          </cell>
        </row>
        <row r="4793">
          <cell r="U4793">
            <v>70071</v>
          </cell>
        </row>
        <row r="4794">
          <cell r="U4794">
            <v>28500</v>
          </cell>
        </row>
        <row r="4795">
          <cell r="U4795">
            <v>28500</v>
          </cell>
        </row>
        <row r="4796">
          <cell r="U4796">
            <v>28500</v>
          </cell>
        </row>
        <row r="4797">
          <cell r="U4797">
            <v>28500</v>
          </cell>
        </row>
        <row r="4798">
          <cell r="U4798">
            <v>28500</v>
          </cell>
        </row>
        <row r="4799">
          <cell r="U4799">
            <v>14250</v>
          </cell>
        </row>
        <row r="4800">
          <cell r="U4800">
            <v>14250</v>
          </cell>
        </row>
        <row r="4801">
          <cell r="U4801">
            <v>28500</v>
          </cell>
        </row>
        <row r="4802">
          <cell r="U4802">
            <v>16500</v>
          </cell>
        </row>
        <row r="4803">
          <cell r="U4803">
            <v>16500</v>
          </cell>
        </row>
        <row r="4804">
          <cell r="U4804">
            <v>46635.199999999997</v>
          </cell>
        </row>
        <row r="4805">
          <cell r="U4805">
            <v>280000</v>
          </cell>
        </row>
        <row r="4806">
          <cell r="U4806">
            <v>3870</v>
          </cell>
        </row>
        <row r="4807">
          <cell r="U4807">
            <v>30600</v>
          </cell>
        </row>
        <row r="4808">
          <cell r="U4808">
            <v>6300</v>
          </cell>
        </row>
        <row r="4809">
          <cell r="U4809">
            <v>250</v>
          </cell>
        </row>
        <row r="4810">
          <cell r="U4810">
            <v>2073.6</v>
          </cell>
        </row>
        <row r="4811">
          <cell r="U4811">
            <v>24950</v>
          </cell>
        </row>
        <row r="4812">
          <cell r="U4812">
            <v>57000</v>
          </cell>
        </row>
        <row r="4813">
          <cell r="U4813">
            <v>2073.6</v>
          </cell>
        </row>
        <row r="4814">
          <cell r="U4814">
            <v>1029</v>
          </cell>
        </row>
        <row r="4815">
          <cell r="U4815">
            <v>493.92</v>
          </cell>
        </row>
        <row r="4816">
          <cell r="U4816">
            <v>2175.6</v>
          </cell>
        </row>
        <row r="4817">
          <cell r="U4817">
            <v>686</v>
          </cell>
        </row>
        <row r="4818">
          <cell r="U4818">
            <v>1029</v>
          </cell>
        </row>
        <row r="4819">
          <cell r="U4819">
            <v>1029</v>
          </cell>
        </row>
        <row r="4820">
          <cell r="U4820">
            <v>987.84</v>
          </cell>
        </row>
        <row r="4821">
          <cell r="U4821">
            <v>4018</v>
          </cell>
        </row>
        <row r="4822">
          <cell r="U4822">
            <v>1264.2</v>
          </cell>
        </row>
        <row r="4823">
          <cell r="U4823">
            <v>1029</v>
          </cell>
        </row>
        <row r="4824">
          <cell r="U4824">
            <v>3782.8</v>
          </cell>
        </row>
        <row r="4825">
          <cell r="U4825">
            <v>1264.2</v>
          </cell>
        </row>
        <row r="4826">
          <cell r="U4826">
            <v>17496</v>
          </cell>
        </row>
        <row r="4827">
          <cell r="U4827">
            <v>6336</v>
          </cell>
        </row>
        <row r="4828">
          <cell r="U4828">
            <v>6720</v>
          </cell>
        </row>
        <row r="4829">
          <cell r="U4829">
            <v>7296</v>
          </cell>
        </row>
        <row r="4830">
          <cell r="U4830">
            <v>8064</v>
          </cell>
        </row>
        <row r="4831">
          <cell r="U4831">
            <v>10800</v>
          </cell>
        </row>
        <row r="4832">
          <cell r="U4832">
            <v>15120</v>
          </cell>
        </row>
        <row r="4833">
          <cell r="U4833">
            <v>9216</v>
          </cell>
        </row>
        <row r="4834">
          <cell r="U4834">
            <v>15744</v>
          </cell>
        </row>
        <row r="4835">
          <cell r="U4835">
            <v>16320</v>
          </cell>
        </row>
        <row r="4836">
          <cell r="U4836">
            <v>6120</v>
          </cell>
        </row>
        <row r="4837">
          <cell r="U4837">
            <v>15744</v>
          </cell>
        </row>
        <row r="4838">
          <cell r="U4838">
            <v>14400</v>
          </cell>
        </row>
        <row r="4839">
          <cell r="U4839">
            <v>4680</v>
          </cell>
        </row>
        <row r="4840">
          <cell r="U4840">
            <v>2419.1999999999998</v>
          </cell>
        </row>
        <row r="4841">
          <cell r="U4841">
            <v>4377.6000000000004</v>
          </cell>
        </row>
        <row r="4842">
          <cell r="U4842">
            <v>528</v>
          </cell>
        </row>
        <row r="4843">
          <cell r="U4843">
            <v>652.79999999999995</v>
          </cell>
        </row>
        <row r="4844">
          <cell r="U4844">
            <v>529.91999999999996</v>
          </cell>
        </row>
        <row r="4845">
          <cell r="U4845">
            <v>529.91999999999996</v>
          </cell>
        </row>
        <row r="4846">
          <cell r="U4846">
            <v>990.72</v>
          </cell>
        </row>
        <row r="4847">
          <cell r="U4847">
            <v>990.72</v>
          </cell>
        </row>
        <row r="4848">
          <cell r="U4848">
            <v>6720</v>
          </cell>
        </row>
        <row r="4849">
          <cell r="U4849">
            <v>12834</v>
          </cell>
        </row>
        <row r="4850">
          <cell r="U4850">
            <v>4430</v>
          </cell>
        </row>
        <row r="4851">
          <cell r="U4851">
            <v>4430</v>
          </cell>
        </row>
        <row r="4852">
          <cell r="U4852">
            <v>7250</v>
          </cell>
        </row>
        <row r="4853">
          <cell r="U4853">
            <v>8500</v>
          </cell>
        </row>
        <row r="4854">
          <cell r="U4854">
            <v>133000</v>
          </cell>
        </row>
        <row r="4855">
          <cell r="U4855">
            <v>231700</v>
          </cell>
        </row>
        <row r="4856">
          <cell r="U4856">
            <v>450</v>
          </cell>
        </row>
        <row r="4857">
          <cell r="U4857">
            <v>12150</v>
          </cell>
        </row>
        <row r="4858">
          <cell r="U4858">
            <v>12100</v>
          </cell>
        </row>
        <row r="4859">
          <cell r="U4859">
            <v>7375</v>
          </cell>
        </row>
        <row r="4860">
          <cell r="U4860">
            <v>11800</v>
          </cell>
        </row>
        <row r="4861">
          <cell r="U4861">
            <v>13275</v>
          </cell>
        </row>
        <row r="4862">
          <cell r="U4862">
            <v>5625</v>
          </cell>
        </row>
        <row r="4863">
          <cell r="U4863">
            <v>12187.5</v>
          </cell>
        </row>
        <row r="4864">
          <cell r="U4864">
            <v>9375</v>
          </cell>
        </row>
        <row r="4865">
          <cell r="U4865">
            <v>9375</v>
          </cell>
        </row>
        <row r="4866">
          <cell r="U4866">
            <v>18750</v>
          </cell>
        </row>
        <row r="4867">
          <cell r="U4867">
            <v>3750</v>
          </cell>
        </row>
        <row r="4868">
          <cell r="U4868">
            <v>9750</v>
          </cell>
        </row>
        <row r="4869">
          <cell r="U4869">
            <v>6250</v>
          </cell>
        </row>
        <row r="4870">
          <cell r="U4870">
            <v>6250</v>
          </cell>
        </row>
        <row r="4871">
          <cell r="U4871">
            <v>70659.600000000006</v>
          </cell>
        </row>
        <row r="4872">
          <cell r="U4872">
            <v>632400</v>
          </cell>
        </row>
        <row r="4873">
          <cell r="U4873">
            <v>3325</v>
          </cell>
        </row>
        <row r="4874">
          <cell r="U4874">
            <v>1675032</v>
          </cell>
        </row>
        <row r="4875">
          <cell r="U4875">
            <v>1240000</v>
          </cell>
        </row>
        <row r="4876">
          <cell r="U4876">
            <v>27000</v>
          </cell>
        </row>
        <row r="4877">
          <cell r="U4877">
            <v>26445.71</v>
          </cell>
        </row>
        <row r="4878">
          <cell r="U4878">
            <v>20000</v>
          </cell>
        </row>
        <row r="4879">
          <cell r="U4879">
            <v>30000</v>
          </cell>
        </row>
        <row r="4880">
          <cell r="U4880">
            <v>7500</v>
          </cell>
        </row>
        <row r="4881">
          <cell r="U4881">
            <v>300</v>
          </cell>
        </row>
        <row r="4882">
          <cell r="U4882">
            <v>300</v>
          </cell>
        </row>
        <row r="4883">
          <cell r="U4883">
            <v>8050</v>
          </cell>
        </row>
        <row r="4884">
          <cell r="U4884">
            <v>8050</v>
          </cell>
        </row>
        <row r="4885">
          <cell r="U4885">
            <v>8000</v>
          </cell>
        </row>
        <row r="4886">
          <cell r="U4886">
            <v>31350</v>
          </cell>
        </row>
        <row r="4887">
          <cell r="U4887">
            <v>27867.3</v>
          </cell>
        </row>
        <row r="4888">
          <cell r="U4888">
            <v>20900</v>
          </cell>
        </row>
        <row r="4889">
          <cell r="U4889">
            <v>17415.400000000001</v>
          </cell>
        </row>
        <row r="4890">
          <cell r="U4890">
            <v>9104.6200000000008</v>
          </cell>
        </row>
        <row r="4891">
          <cell r="U4891">
            <v>4449</v>
          </cell>
        </row>
        <row r="4892">
          <cell r="U4892">
            <v>2406.4</v>
          </cell>
        </row>
        <row r="4893">
          <cell r="U4893">
            <v>170000</v>
          </cell>
        </row>
        <row r="4894">
          <cell r="U4894">
            <v>15530.44</v>
          </cell>
        </row>
        <row r="4895">
          <cell r="U4895">
            <v>7203</v>
          </cell>
        </row>
        <row r="4896">
          <cell r="U4896">
            <v>6696</v>
          </cell>
        </row>
        <row r="4897">
          <cell r="U4897">
            <v>8237.9500000000007</v>
          </cell>
        </row>
        <row r="4898">
          <cell r="U4898">
            <v>8517.3799999999992</v>
          </cell>
        </row>
        <row r="4899">
          <cell r="U4899">
            <v>11191.99</v>
          </cell>
        </row>
        <row r="4900">
          <cell r="U4900">
            <v>11571.62</v>
          </cell>
        </row>
        <row r="4901">
          <cell r="U4901">
            <v>1850</v>
          </cell>
        </row>
        <row r="4902">
          <cell r="U4902">
            <v>40885</v>
          </cell>
        </row>
        <row r="4903">
          <cell r="U4903">
            <v>314404.2</v>
          </cell>
        </row>
        <row r="4904">
          <cell r="U4904">
            <v>155182.5</v>
          </cell>
        </row>
        <row r="4905">
          <cell r="U4905">
            <v>177198.75</v>
          </cell>
        </row>
        <row r="4906">
          <cell r="U4906">
            <v>238331.25</v>
          </cell>
        </row>
        <row r="4907">
          <cell r="U4907">
            <v>269681.25</v>
          </cell>
        </row>
        <row r="4908">
          <cell r="U4908">
            <v>354682.5</v>
          </cell>
        </row>
        <row r="4909">
          <cell r="U4909">
            <v>390307.5</v>
          </cell>
        </row>
        <row r="4910">
          <cell r="U4910">
            <v>6500000</v>
          </cell>
        </row>
        <row r="4911">
          <cell r="U4911">
            <v>15600</v>
          </cell>
        </row>
        <row r="4912">
          <cell r="U4912">
            <v>7800</v>
          </cell>
        </row>
        <row r="4913">
          <cell r="U4913">
            <v>15600</v>
          </cell>
        </row>
        <row r="4914">
          <cell r="U4914">
            <v>243700</v>
          </cell>
        </row>
        <row r="4915">
          <cell r="U4915">
            <v>62216</v>
          </cell>
        </row>
        <row r="4916">
          <cell r="U4916">
            <v>40780</v>
          </cell>
        </row>
        <row r="4917">
          <cell r="U4917">
            <v>555979.80000000005</v>
          </cell>
        </row>
        <row r="4918">
          <cell r="U4918">
            <v>334916</v>
          </cell>
        </row>
        <row r="4919">
          <cell r="U4919">
            <v>1911.15</v>
          </cell>
        </row>
        <row r="4920">
          <cell r="U4920">
            <v>1264.2</v>
          </cell>
        </row>
        <row r="4921">
          <cell r="U4921">
            <v>686</v>
          </cell>
        </row>
        <row r="4922">
          <cell r="U4922">
            <v>126361.2</v>
          </cell>
        </row>
        <row r="4923">
          <cell r="U4923">
            <v>6000</v>
          </cell>
        </row>
        <row r="4924">
          <cell r="U4924">
            <v>9000</v>
          </cell>
        </row>
        <row r="4925">
          <cell r="U4925">
            <v>10001.81</v>
          </cell>
        </row>
        <row r="4926">
          <cell r="U4926">
            <v>609225</v>
          </cell>
        </row>
        <row r="4927">
          <cell r="U4927">
            <v>9720</v>
          </cell>
        </row>
        <row r="4928">
          <cell r="U4928">
            <v>81272.5</v>
          </cell>
        </row>
        <row r="4929">
          <cell r="U4929">
            <v>740</v>
          </cell>
        </row>
        <row r="4930">
          <cell r="U4930">
            <v>650</v>
          </cell>
        </row>
        <row r="4931">
          <cell r="U4931">
            <v>8500</v>
          </cell>
        </row>
        <row r="4932">
          <cell r="U4932">
            <v>20000</v>
          </cell>
        </row>
        <row r="4933">
          <cell r="U4933">
            <v>20000</v>
          </cell>
        </row>
        <row r="4934">
          <cell r="U4934">
            <v>20000</v>
          </cell>
        </row>
        <row r="4935">
          <cell r="U4935">
            <v>20000</v>
          </cell>
        </row>
        <row r="4936">
          <cell r="U4936">
            <v>40000</v>
          </cell>
        </row>
        <row r="4937">
          <cell r="U4937">
            <v>40000</v>
          </cell>
        </row>
        <row r="4938">
          <cell r="U4938">
            <v>20000</v>
          </cell>
        </row>
        <row r="4939">
          <cell r="U4939">
            <v>20000</v>
          </cell>
        </row>
        <row r="4940">
          <cell r="U4940">
            <v>4800</v>
          </cell>
        </row>
        <row r="4941">
          <cell r="U4941">
            <v>900</v>
          </cell>
        </row>
        <row r="4942">
          <cell r="U4942">
            <v>96000</v>
          </cell>
        </row>
        <row r="4943">
          <cell r="U4943">
            <v>11520</v>
          </cell>
        </row>
        <row r="4944">
          <cell r="U4944">
            <v>215000</v>
          </cell>
        </row>
        <row r="4945">
          <cell r="U4945">
            <v>10500</v>
          </cell>
        </row>
        <row r="4946">
          <cell r="U4946">
            <v>21528</v>
          </cell>
        </row>
        <row r="4947">
          <cell r="U4947">
            <v>346.5</v>
          </cell>
        </row>
        <row r="4948">
          <cell r="U4948">
            <v>724.5</v>
          </cell>
        </row>
        <row r="4949">
          <cell r="U4949">
            <v>7500</v>
          </cell>
        </row>
        <row r="4950">
          <cell r="U4950">
            <v>51000</v>
          </cell>
        </row>
        <row r="4951">
          <cell r="U4951">
            <v>35250</v>
          </cell>
        </row>
        <row r="4952">
          <cell r="U4952">
            <v>6298525</v>
          </cell>
        </row>
        <row r="4953">
          <cell r="U4953">
            <v>2344.6799999999998</v>
          </cell>
        </row>
        <row r="4954">
          <cell r="U4954">
            <v>11257.45</v>
          </cell>
        </row>
        <row r="4955">
          <cell r="U4955">
            <v>47832.5</v>
          </cell>
        </row>
        <row r="4956">
          <cell r="U4956">
            <v>95665</v>
          </cell>
        </row>
        <row r="4957">
          <cell r="U4957">
            <v>46825.5</v>
          </cell>
        </row>
        <row r="4958">
          <cell r="U4958">
            <v>12000</v>
          </cell>
        </row>
        <row r="4959">
          <cell r="U4959">
            <v>7625.52</v>
          </cell>
        </row>
        <row r="4960">
          <cell r="U4960">
            <v>121000</v>
          </cell>
        </row>
        <row r="4961">
          <cell r="U4961">
            <v>48195</v>
          </cell>
        </row>
        <row r="4962">
          <cell r="U4962">
            <v>6300</v>
          </cell>
        </row>
        <row r="4963">
          <cell r="U4963">
            <v>27000</v>
          </cell>
        </row>
        <row r="4964">
          <cell r="U4964">
            <v>36000</v>
          </cell>
        </row>
        <row r="4965">
          <cell r="U4965">
            <v>1753.76</v>
          </cell>
        </row>
        <row r="4966">
          <cell r="U4966">
            <v>541.26</v>
          </cell>
        </row>
        <row r="4967">
          <cell r="U4967">
            <v>114.46</v>
          </cell>
        </row>
        <row r="4968">
          <cell r="U4968">
            <v>5721.06</v>
          </cell>
        </row>
        <row r="4969">
          <cell r="U4969">
            <v>-5721.06</v>
          </cell>
        </row>
        <row r="4970">
          <cell r="U4970">
            <v>2860.53</v>
          </cell>
        </row>
        <row r="4971">
          <cell r="U4971">
            <v>2860.53</v>
          </cell>
        </row>
        <row r="4972">
          <cell r="U4972">
            <v>22736.799999999999</v>
          </cell>
        </row>
        <row r="4973">
          <cell r="U4973">
            <v>8128.6</v>
          </cell>
        </row>
        <row r="4974">
          <cell r="U4974">
            <v>12500</v>
          </cell>
        </row>
        <row r="4975">
          <cell r="U4975">
            <v>7118.6</v>
          </cell>
        </row>
        <row r="4976">
          <cell r="U4976">
            <v>80000</v>
          </cell>
        </row>
        <row r="4977">
          <cell r="U4977">
            <v>153801.91</v>
          </cell>
        </row>
        <row r="4978">
          <cell r="U4978">
            <v>9200</v>
          </cell>
        </row>
        <row r="4979">
          <cell r="U4979">
            <v>17710</v>
          </cell>
        </row>
        <row r="4980">
          <cell r="U4980">
            <v>118322</v>
          </cell>
        </row>
        <row r="4981">
          <cell r="U4981">
            <v>110075</v>
          </cell>
        </row>
        <row r="4982">
          <cell r="U4982">
            <v>558360</v>
          </cell>
        </row>
        <row r="4983">
          <cell r="U4983">
            <v>105000</v>
          </cell>
        </row>
        <row r="4984">
          <cell r="U4984">
            <v>412000</v>
          </cell>
        </row>
        <row r="4985">
          <cell r="U4985">
            <v>300</v>
          </cell>
        </row>
        <row r="4986">
          <cell r="U4986">
            <v>380</v>
          </cell>
        </row>
        <row r="4987">
          <cell r="U4987">
            <v>8050</v>
          </cell>
        </row>
        <row r="4988">
          <cell r="U4988">
            <v>11375</v>
          </cell>
        </row>
        <row r="4989">
          <cell r="U4989">
            <v>14000</v>
          </cell>
        </row>
        <row r="4990">
          <cell r="U4990">
            <v>6462</v>
          </cell>
        </row>
        <row r="4991">
          <cell r="U4991">
            <v>6462</v>
          </cell>
        </row>
        <row r="4992">
          <cell r="U4992">
            <v>6462</v>
          </cell>
        </row>
        <row r="4993">
          <cell r="U4993">
            <v>6462</v>
          </cell>
        </row>
        <row r="4994">
          <cell r="U4994">
            <v>6462</v>
          </cell>
        </row>
        <row r="4995">
          <cell r="U4995">
            <v>7539</v>
          </cell>
        </row>
        <row r="4996">
          <cell r="U4996">
            <v>7539</v>
          </cell>
        </row>
        <row r="4997">
          <cell r="U4997">
            <v>7539</v>
          </cell>
        </row>
        <row r="4998">
          <cell r="U4998">
            <v>7539</v>
          </cell>
        </row>
        <row r="4999">
          <cell r="U4999">
            <v>7539</v>
          </cell>
        </row>
        <row r="5000">
          <cell r="U5000">
            <v>7539</v>
          </cell>
        </row>
        <row r="5001">
          <cell r="U5001">
            <v>2154</v>
          </cell>
        </row>
        <row r="5002">
          <cell r="U5002">
            <v>1077</v>
          </cell>
        </row>
        <row r="5003">
          <cell r="U5003">
            <v>4530</v>
          </cell>
        </row>
        <row r="5004">
          <cell r="U5004">
            <v>4530</v>
          </cell>
        </row>
        <row r="5005">
          <cell r="U5005">
            <v>4530</v>
          </cell>
        </row>
        <row r="5006">
          <cell r="U5006">
            <v>4530</v>
          </cell>
        </row>
        <row r="5007">
          <cell r="U5007">
            <v>4530</v>
          </cell>
        </row>
        <row r="5008">
          <cell r="U5008">
            <v>5285</v>
          </cell>
        </row>
        <row r="5009">
          <cell r="U5009">
            <v>5285</v>
          </cell>
        </row>
        <row r="5010">
          <cell r="U5010">
            <v>5285</v>
          </cell>
        </row>
        <row r="5011">
          <cell r="U5011">
            <v>5285</v>
          </cell>
        </row>
        <row r="5012">
          <cell r="U5012">
            <v>5285</v>
          </cell>
        </row>
        <row r="5013">
          <cell r="U5013">
            <v>5285</v>
          </cell>
        </row>
        <row r="5014">
          <cell r="U5014">
            <v>1510</v>
          </cell>
        </row>
        <row r="5015">
          <cell r="U5015">
            <v>755</v>
          </cell>
        </row>
        <row r="5016">
          <cell r="U5016">
            <v>5531.5</v>
          </cell>
        </row>
        <row r="5017">
          <cell r="U5017">
            <v>16542.400000000001</v>
          </cell>
        </row>
        <row r="5018">
          <cell r="U5018">
            <v>22810.55</v>
          </cell>
        </row>
        <row r="5019">
          <cell r="U5019">
            <v>5225</v>
          </cell>
        </row>
        <row r="5020">
          <cell r="U5020">
            <v>6650</v>
          </cell>
        </row>
        <row r="5021">
          <cell r="U5021">
            <v>9310</v>
          </cell>
        </row>
        <row r="5022">
          <cell r="U5022">
            <v>570</v>
          </cell>
        </row>
        <row r="5023">
          <cell r="U5023">
            <v>1330</v>
          </cell>
        </row>
        <row r="5024">
          <cell r="U5024">
            <v>1330</v>
          </cell>
        </row>
        <row r="5025">
          <cell r="U5025">
            <v>2470</v>
          </cell>
        </row>
        <row r="5026">
          <cell r="U5026">
            <v>4750</v>
          </cell>
        </row>
        <row r="5027">
          <cell r="U5027">
            <v>12843.77</v>
          </cell>
        </row>
        <row r="5028">
          <cell r="U5028">
            <v>12124.52</v>
          </cell>
        </row>
        <row r="5029">
          <cell r="U5029">
            <v>4264.13</v>
          </cell>
        </row>
        <row r="5030">
          <cell r="U5030">
            <v>5702.64</v>
          </cell>
        </row>
        <row r="5031">
          <cell r="U5031">
            <v>4366.88</v>
          </cell>
        </row>
        <row r="5032">
          <cell r="U5032">
            <v>1300950</v>
          </cell>
        </row>
        <row r="5033">
          <cell r="U5033">
            <v>4850000</v>
          </cell>
        </row>
        <row r="5034">
          <cell r="U5034">
            <v>995718.95</v>
          </cell>
        </row>
        <row r="5035">
          <cell r="U5035">
            <v>1360000</v>
          </cell>
        </row>
        <row r="5036">
          <cell r="U5036">
            <v>226019.16</v>
          </cell>
        </row>
        <row r="5037">
          <cell r="U5037">
            <v>73419.679999999993</v>
          </cell>
        </row>
        <row r="5038">
          <cell r="U5038">
            <v>3600</v>
          </cell>
        </row>
        <row r="5039">
          <cell r="U5039">
            <v>5265.95</v>
          </cell>
        </row>
        <row r="5040">
          <cell r="U5040">
            <v>23000</v>
          </cell>
        </row>
        <row r="5041">
          <cell r="U5041">
            <v>128800</v>
          </cell>
        </row>
        <row r="5042">
          <cell r="U5042">
            <v>6000</v>
          </cell>
        </row>
        <row r="5043">
          <cell r="U5043">
            <v>13330</v>
          </cell>
        </row>
        <row r="5044">
          <cell r="U5044">
            <v>13330</v>
          </cell>
        </row>
        <row r="5045">
          <cell r="U5045">
            <v>25327</v>
          </cell>
        </row>
        <row r="5046">
          <cell r="U5046">
            <v>35000</v>
          </cell>
        </row>
        <row r="5047">
          <cell r="U5047">
            <v>172500</v>
          </cell>
        </row>
        <row r="5048">
          <cell r="U5048">
            <v>79186</v>
          </cell>
        </row>
        <row r="5049">
          <cell r="U5049">
            <v>13098</v>
          </cell>
        </row>
        <row r="5050">
          <cell r="U5050">
            <v>33282</v>
          </cell>
        </row>
        <row r="5051">
          <cell r="U5051">
            <v>35666</v>
          </cell>
        </row>
        <row r="5052">
          <cell r="U5052">
            <v>116637</v>
          </cell>
        </row>
        <row r="5053">
          <cell r="U5053">
            <v>133926</v>
          </cell>
        </row>
        <row r="5054">
          <cell r="U5054">
            <v>29185</v>
          </cell>
        </row>
        <row r="5055">
          <cell r="U5055">
            <v>16924</v>
          </cell>
        </row>
        <row r="5056">
          <cell r="U5056">
            <v>321654</v>
          </cell>
        </row>
        <row r="5057">
          <cell r="U5057">
            <v>238965</v>
          </cell>
        </row>
        <row r="5058">
          <cell r="U5058">
            <v>5096564.51</v>
          </cell>
        </row>
        <row r="5059">
          <cell r="U5059">
            <v>4650227.84</v>
          </cell>
        </row>
        <row r="5060">
          <cell r="U5060">
            <v>8428153.9600000009</v>
          </cell>
        </row>
        <row r="5061">
          <cell r="U5061">
            <v>8724764.4800000004</v>
          </cell>
        </row>
        <row r="5062">
          <cell r="U5062">
            <v>8629978.2799999993</v>
          </cell>
        </row>
        <row r="5063">
          <cell r="U5063">
            <v>8661375.6999999993</v>
          </cell>
        </row>
        <row r="5064">
          <cell r="U5064">
            <v>5434647.75</v>
          </cell>
        </row>
        <row r="5065">
          <cell r="U5065">
            <v>3171413.05</v>
          </cell>
        </row>
        <row r="5066">
          <cell r="U5066">
            <v>5820847.2000000002</v>
          </cell>
        </row>
        <row r="5067">
          <cell r="U5067">
            <v>2628738.41</v>
          </cell>
        </row>
        <row r="5068">
          <cell r="U5068">
            <v>3153722.86</v>
          </cell>
        </row>
        <row r="5069">
          <cell r="U5069">
            <v>5498340.75</v>
          </cell>
        </row>
        <row r="5070">
          <cell r="U5070">
            <v>1249173.93</v>
          </cell>
        </row>
        <row r="5071">
          <cell r="U5071">
            <v>5841612</v>
          </cell>
        </row>
        <row r="5072">
          <cell r="U5072">
            <v>5499522</v>
          </cell>
        </row>
        <row r="5073">
          <cell r="U5073">
            <v>3868702.94</v>
          </cell>
        </row>
        <row r="5074">
          <cell r="U5074">
            <v>3848662.02</v>
          </cell>
        </row>
        <row r="5075">
          <cell r="U5075">
            <v>5505995.25</v>
          </cell>
        </row>
        <row r="5076">
          <cell r="U5076">
            <v>3718701.28</v>
          </cell>
        </row>
        <row r="5077">
          <cell r="U5077">
            <v>5511287.25</v>
          </cell>
        </row>
        <row r="5078">
          <cell r="U5078">
            <v>5512468.5</v>
          </cell>
        </row>
        <row r="5079">
          <cell r="U5079">
            <v>3361218.99</v>
          </cell>
        </row>
        <row r="5080">
          <cell r="U5080">
            <v>579855.15</v>
          </cell>
        </row>
        <row r="5081">
          <cell r="U5081">
            <v>8557531.5</v>
          </cell>
        </row>
        <row r="5082">
          <cell r="U5082">
            <v>8580463.5</v>
          </cell>
        </row>
        <row r="5083">
          <cell r="U5083">
            <v>900253.79</v>
          </cell>
        </row>
        <row r="5084">
          <cell r="U5084">
            <v>2972417.2</v>
          </cell>
        </row>
        <row r="5085">
          <cell r="U5085">
            <v>5477245.2800000003</v>
          </cell>
        </row>
        <row r="5086">
          <cell r="U5086">
            <v>3666148.55</v>
          </cell>
        </row>
        <row r="5087">
          <cell r="U5087">
            <v>761205</v>
          </cell>
        </row>
        <row r="5088">
          <cell r="U5088">
            <v>593805</v>
          </cell>
        </row>
        <row r="5089">
          <cell r="U5089">
            <v>63984</v>
          </cell>
        </row>
        <row r="5090">
          <cell r="U5090">
            <v>155</v>
          </cell>
        </row>
        <row r="5091">
          <cell r="U5091">
            <v>17000</v>
          </cell>
        </row>
        <row r="5092">
          <cell r="U5092">
            <v>8500</v>
          </cell>
        </row>
        <row r="5093">
          <cell r="U5093">
            <v>1185</v>
          </cell>
        </row>
        <row r="5094">
          <cell r="U5094">
            <v>3273</v>
          </cell>
        </row>
        <row r="5095">
          <cell r="U5095">
            <v>44000</v>
          </cell>
        </row>
        <row r="5096">
          <cell r="U5096">
            <v>1444.5</v>
          </cell>
        </row>
        <row r="5097">
          <cell r="U5097">
            <v>1362</v>
          </cell>
        </row>
        <row r="5098">
          <cell r="U5098">
            <v>140</v>
          </cell>
        </row>
        <row r="5099">
          <cell r="U5099">
            <v>344.5</v>
          </cell>
        </row>
        <row r="5100">
          <cell r="U5100">
            <v>2600.34</v>
          </cell>
        </row>
        <row r="5101">
          <cell r="U5101">
            <v>202.5</v>
          </cell>
        </row>
        <row r="5102">
          <cell r="U5102">
            <v>255</v>
          </cell>
        </row>
        <row r="5103">
          <cell r="U5103">
            <v>17438.66</v>
          </cell>
        </row>
        <row r="5104">
          <cell r="U5104">
            <v>187636.55</v>
          </cell>
        </row>
        <row r="5105">
          <cell r="U5105">
            <v>313594</v>
          </cell>
        </row>
        <row r="5106">
          <cell r="U5106">
            <v>69870</v>
          </cell>
        </row>
        <row r="5107">
          <cell r="U5107">
            <v>13000</v>
          </cell>
        </row>
        <row r="5108">
          <cell r="U5108">
            <v>157561.29999999999</v>
          </cell>
        </row>
        <row r="5109">
          <cell r="U5109">
            <v>4500</v>
          </cell>
        </row>
        <row r="5110">
          <cell r="U5110">
            <v>700</v>
          </cell>
        </row>
        <row r="5111">
          <cell r="U5111">
            <v>-700</v>
          </cell>
        </row>
        <row r="5112">
          <cell r="U5112">
            <v>15000</v>
          </cell>
        </row>
        <row r="5113">
          <cell r="U5113">
            <v>15760</v>
          </cell>
        </row>
        <row r="5114">
          <cell r="U5114">
            <v>900000</v>
          </cell>
        </row>
        <row r="5115">
          <cell r="U5115">
            <v>1687392</v>
          </cell>
        </row>
        <row r="5116">
          <cell r="U5116">
            <v>1275000</v>
          </cell>
        </row>
        <row r="5117">
          <cell r="U5117">
            <v>127279.35</v>
          </cell>
        </row>
        <row r="5118">
          <cell r="U5118">
            <v>82179.97</v>
          </cell>
        </row>
        <row r="5119">
          <cell r="U5119">
            <v>31821.34</v>
          </cell>
        </row>
        <row r="5120">
          <cell r="U5120">
            <v>2830.24</v>
          </cell>
        </row>
        <row r="5121">
          <cell r="U5121">
            <v>1617.28</v>
          </cell>
        </row>
        <row r="5122">
          <cell r="U5122">
            <v>48922.68</v>
          </cell>
        </row>
        <row r="5123">
          <cell r="U5123">
            <v>87029.81</v>
          </cell>
        </row>
        <row r="5124">
          <cell r="U5124">
            <v>3879.35</v>
          </cell>
        </row>
        <row r="5125">
          <cell r="U5125">
            <v>7437.27</v>
          </cell>
        </row>
        <row r="5126">
          <cell r="U5126">
            <v>2660.13</v>
          </cell>
        </row>
        <row r="5127">
          <cell r="U5127">
            <v>2577</v>
          </cell>
        </row>
        <row r="5128">
          <cell r="U5128">
            <v>315361.89</v>
          </cell>
        </row>
        <row r="5129">
          <cell r="U5129">
            <v>1801.13</v>
          </cell>
        </row>
        <row r="5130">
          <cell r="U5130">
            <v>2194.6</v>
          </cell>
        </row>
        <row r="5131">
          <cell r="U5131">
            <v>1773.42</v>
          </cell>
        </row>
        <row r="5132">
          <cell r="U5132">
            <v>2272.19</v>
          </cell>
        </row>
        <row r="5133">
          <cell r="U5133">
            <v>177660</v>
          </cell>
        </row>
        <row r="5134">
          <cell r="U5134">
            <v>62627</v>
          </cell>
        </row>
        <row r="5135">
          <cell r="U5135">
            <v>125254</v>
          </cell>
        </row>
        <row r="5136">
          <cell r="U5136">
            <v>159727.14000000001</v>
          </cell>
        </row>
        <row r="5137">
          <cell r="U5137">
            <v>10624.48</v>
          </cell>
        </row>
        <row r="5138">
          <cell r="U5138">
            <v>16491.98</v>
          </cell>
        </row>
        <row r="5139">
          <cell r="U5139">
            <v>8046.01</v>
          </cell>
        </row>
        <row r="5140">
          <cell r="U5140">
            <v>4814.42</v>
          </cell>
        </row>
        <row r="5141">
          <cell r="U5141">
            <v>5207.99</v>
          </cell>
        </row>
        <row r="5142">
          <cell r="U5142">
            <v>9888.3799999999992</v>
          </cell>
        </row>
        <row r="5143">
          <cell r="U5143">
            <v>2983.75</v>
          </cell>
        </row>
        <row r="5144">
          <cell r="U5144">
            <v>2604</v>
          </cell>
        </row>
        <row r="5145">
          <cell r="U5145">
            <v>22801.99</v>
          </cell>
        </row>
        <row r="5146">
          <cell r="U5146">
            <v>18000</v>
          </cell>
        </row>
        <row r="5147">
          <cell r="U5147">
            <v>13500</v>
          </cell>
        </row>
        <row r="5148">
          <cell r="U5148">
            <v>3600</v>
          </cell>
        </row>
        <row r="5149">
          <cell r="U5149">
            <v>13500</v>
          </cell>
        </row>
        <row r="5150">
          <cell r="U5150">
            <v>10800</v>
          </cell>
        </row>
        <row r="5151">
          <cell r="U5151">
            <v>117000</v>
          </cell>
        </row>
        <row r="5152">
          <cell r="U5152">
            <v>423000</v>
          </cell>
        </row>
        <row r="5153">
          <cell r="U5153">
            <v>4047380</v>
          </cell>
        </row>
        <row r="5154">
          <cell r="U5154">
            <v>18000</v>
          </cell>
        </row>
        <row r="5155">
          <cell r="U5155">
            <v>5000</v>
          </cell>
        </row>
        <row r="5156">
          <cell r="U5156">
            <v>165000</v>
          </cell>
        </row>
        <row r="5157">
          <cell r="U5157">
            <v>180900</v>
          </cell>
        </row>
        <row r="5158">
          <cell r="U5158">
            <v>54000</v>
          </cell>
        </row>
        <row r="5159">
          <cell r="U5159">
            <v>27538.3</v>
          </cell>
        </row>
        <row r="5160">
          <cell r="U5160">
            <v>109134.88</v>
          </cell>
        </row>
        <row r="5161">
          <cell r="U5161">
            <v>75609.509999999995</v>
          </cell>
        </row>
        <row r="5162">
          <cell r="U5162">
            <v>120065.31</v>
          </cell>
        </row>
        <row r="5163">
          <cell r="U5163">
            <v>40590</v>
          </cell>
        </row>
        <row r="5164">
          <cell r="U5164">
            <v>104175</v>
          </cell>
        </row>
        <row r="5165">
          <cell r="U5165">
            <v>192740</v>
          </cell>
        </row>
        <row r="5166">
          <cell r="U5166">
            <v>50300</v>
          </cell>
        </row>
        <row r="5167">
          <cell r="U5167">
            <v>3206.4</v>
          </cell>
        </row>
        <row r="5168">
          <cell r="U5168">
            <v>3020.8</v>
          </cell>
        </row>
        <row r="5169">
          <cell r="U5169">
            <v>245762.26</v>
          </cell>
        </row>
        <row r="5170">
          <cell r="U5170">
            <v>26500</v>
          </cell>
        </row>
        <row r="5171">
          <cell r="U5171">
            <v>721516</v>
          </cell>
        </row>
        <row r="5172">
          <cell r="U5172">
            <v>184815</v>
          </cell>
        </row>
        <row r="5173">
          <cell r="U5173">
            <v>35619</v>
          </cell>
        </row>
        <row r="5174">
          <cell r="U5174">
            <v>51336</v>
          </cell>
        </row>
        <row r="5175">
          <cell r="U5175">
            <v>2550</v>
          </cell>
        </row>
        <row r="5176">
          <cell r="U5176">
            <v>1560384</v>
          </cell>
        </row>
        <row r="5177">
          <cell r="U5177">
            <v>548403</v>
          </cell>
        </row>
        <row r="5178">
          <cell r="U5178">
            <v>548403</v>
          </cell>
        </row>
        <row r="5179">
          <cell r="U5179">
            <v>24110</v>
          </cell>
        </row>
        <row r="5180">
          <cell r="U5180">
            <v>659292</v>
          </cell>
        </row>
        <row r="5181">
          <cell r="U5181">
            <v>329646</v>
          </cell>
        </row>
        <row r="5182">
          <cell r="U5182">
            <v>329646</v>
          </cell>
        </row>
        <row r="5183">
          <cell r="U5183">
            <v>473250</v>
          </cell>
        </row>
        <row r="5184">
          <cell r="U5184">
            <v>44450</v>
          </cell>
        </row>
        <row r="5185">
          <cell r="U5185">
            <v>10000</v>
          </cell>
        </row>
        <row r="5186">
          <cell r="U5186">
            <v>17200</v>
          </cell>
        </row>
        <row r="5187">
          <cell r="U5187">
            <v>17200</v>
          </cell>
        </row>
        <row r="5188">
          <cell r="U5188">
            <v>48600</v>
          </cell>
        </row>
        <row r="5189">
          <cell r="U5189">
            <v>62100</v>
          </cell>
        </row>
        <row r="5190">
          <cell r="U5190">
            <v>212598</v>
          </cell>
        </row>
        <row r="5191">
          <cell r="U5191">
            <v>15840</v>
          </cell>
        </row>
        <row r="5192">
          <cell r="U5192">
            <v>33264</v>
          </cell>
        </row>
        <row r="5193">
          <cell r="U5193">
            <v>28512</v>
          </cell>
        </row>
        <row r="5194">
          <cell r="U5194">
            <v>117000</v>
          </cell>
        </row>
        <row r="5195">
          <cell r="U5195">
            <v>18409.04</v>
          </cell>
        </row>
        <row r="5196">
          <cell r="U5196">
            <v>14541.48</v>
          </cell>
        </row>
        <row r="5197">
          <cell r="U5197">
            <v>77833.56</v>
          </cell>
        </row>
        <row r="5198">
          <cell r="U5198">
            <v>3250</v>
          </cell>
        </row>
        <row r="5199">
          <cell r="U5199">
            <v>40805.61</v>
          </cell>
        </row>
        <row r="5200">
          <cell r="U5200">
            <v>20503.419999999998</v>
          </cell>
        </row>
        <row r="5201">
          <cell r="U5201">
            <v>107200</v>
          </cell>
        </row>
        <row r="5202">
          <cell r="U5202">
            <v>17760</v>
          </cell>
        </row>
        <row r="5203">
          <cell r="U5203">
            <v>5760</v>
          </cell>
        </row>
        <row r="5204">
          <cell r="U5204">
            <v>2880</v>
          </cell>
        </row>
        <row r="5205">
          <cell r="U5205">
            <v>4365.42</v>
          </cell>
        </row>
        <row r="5206">
          <cell r="U5206">
            <v>16958.55</v>
          </cell>
        </row>
        <row r="5207">
          <cell r="U5207">
            <v>6912</v>
          </cell>
        </row>
        <row r="5208">
          <cell r="U5208">
            <v>19968.03</v>
          </cell>
        </row>
        <row r="5209">
          <cell r="U5209">
            <v>20566.02</v>
          </cell>
        </row>
        <row r="5210">
          <cell r="U5210">
            <v>475.2</v>
          </cell>
        </row>
        <row r="5211">
          <cell r="U5211">
            <v>296.8</v>
          </cell>
        </row>
        <row r="5212">
          <cell r="U5212">
            <v>406</v>
          </cell>
        </row>
        <row r="5213">
          <cell r="U5213">
            <v>1724.8</v>
          </cell>
        </row>
        <row r="5214">
          <cell r="U5214">
            <v>5468.4</v>
          </cell>
        </row>
        <row r="5215">
          <cell r="U5215">
            <v>6570.9</v>
          </cell>
        </row>
        <row r="5216">
          <cell r="U5216">
            <v>5997.6</v>
          </cell>
        </row>
        <row r="5217">
          <cell r="U5217">
            <v>10682</v>
          </cell>
        </row>
        <row r="5218">
          <cell r="U5218">
            <v>10731</v>
          </cell>
        </row>
        <row r="5219">
          <cell r="U5219">
            <v>10279</v>
          </cell>
        </row>
        <row r="5220">
          <cell r="U5220">
            <v>2650.5</v>
          </cell>
        </row>
        <row r="5221">
          <cell r="U5221">
            <v>19427.5</v>
          </cell>
        </row>
        <row r="5222">
          <cell r="U5222">
            <v>26438.5</v>
          </cell>
        </row>
        <row r="5223">
          <cell r="U5223">
            <v>35698.15</v>
          </cell>
        </row>
        <row r="5224">
          <cell r="U5224">
            <v>5533.75</v>
          </cell>
        </row>
        <row r="5225">
          <cell r="U5225">
            <v>19285</v>
          </cell>
        </row>
        <row r="5226">
          <cell r="U5226">
            <v>10904.1</v>
          </cell>
        </row>
        <row r="5227">
          <cell r="U5227">
            <v>36746.949999999997</v>
          </cell>
        </row>
        <row r="5228">
          <cell r="U5228">
            <v>81.22</v>
          </cell>
        </row>
        <row r="5229">
          <cell r="U5229">
            <v>5229.75</v>
          </cell>
        </row>
        <row r="5230">
          <cell r="U5230">
            <v>24140</v>
          </cell>
        </row>
        <row r="5231">
          <cell r="U5231">
            <v>28239</v>
          </cell>
        </row>
        <row r="5232">
          <cell r="U5232">
            <v>18826</v>
          </cell>
        </row>
        <row r="5233">
          <cell r="U5233">
            <v>54810</v>
          </cell>
        </row>
        <row r="5234">
          <cell r="U5234">
            <v>2850</v>
          </cell>
        </row>
        <row r="5235">
          <cell r="U5235">
            <v>650</v>
          </cell>
        </row>
        <row r="5236">
          <cell r="U5236">
            <v>89775</v>
          </cell>
        </row>
        <row r="5237">
          <cell r="U5237">
            <v>78000</v>
          </cell>
        </row>
        <row r="5238">
          <cell r="U5238">
            <v>272000</v>
          </cell>
        </row>
        <row r="5239">
          <cell r="U5239">
            <v>55605</v>
          </cell>
        </row>
        <row r="5240">
          <cell r="U5240">
            <v>105000</v>
          </cell>
        </row>
        <row r="5241">
          <cell r="U5241">
            <v>140000</v>
          </cell>
        </row>
        <row r="5242">
          <cell r="U5242">
            <v>168</v>
          </cell>
        </row>
        <row r="5243">
          <cell r="U5243">
            <v>28275</v>
          </cell>
        </row>
        <row r="5244">
          <cell r="U5244">
            <v>51500</v>
          </cell>
        </row>
        <row r="5245">
          <cell r="U5245">
            <v>51490</v>
          </cell>
        </row>
        <row r="5246">
          <cell r="U5246">
            <v>850</v>
          </cell>
        </row>
        <row r="5247">
          <cell r="U5247">
            <v>850</v>
          </cell>
        </row>
        <row r="5248">
          <cell r="U5248">
            <v>850</v>
          </cell>
        </row>
        <row r="5249">
          <cell r="U5249">
            <v>850</v>
          </cell>
        </row>
        <row r="5250">
          <cell r="U5250">
            <v>2800</v>
          </cell>
        </row>
        <row r="5251">
          <cell r="U5251">
            <v>3600</v>
          </cell>
        </row>
        <row r="5252">
          <cell r="U5252">
            <v>67500</v>
          </cell>
        </row>
        <row r="5253">
          <cell r="U5253">
            <v>20367</v>
          </cell>
        </row>
        <row r="5254">
          <cell r="U5254">
            <v>18786</v>
          </cell>
        </row>
        <row r="5255">
          <cell r="U5255">
            <v>22466.5</v>
          </cell>
        </row>
        <row r="5256">
          <cell r="U5256">
            <v>3287085.78</v>
          </cell>
        </row>
        <row r="5257">
          <cell r="U5257">
            <v>4</v>
          </cell>
        </row>
        <row r="5258">
          <cell r="U5258">
            <v>1286480</v>
          </cell>
        </row>
        <row r="5259">
          <cell r="U5259">
            <v>1792399.35</v>
          </cell>
        </row>
        <row r="5260">
          <cell r="U5260">
            <v>1</v>
          </cell>
        </row>
        <row r="5261">
          <cell r="U5261">
            <v>1</v>
          </cell>
        </row>
        <row r="5262">
          <cell r="U5262">
            <v>30876</v>
          </cell>
        </row>
        <row r="5263">
          <cell r="U5263">
            <v>46825.5</v>
          </cell>
        </row>
        <row r="5264">
          <cell r="U5264">
            <v>46825.5</v>
          </cell>
        </row>
        <row r="5265">
          <cell r="U5265">
            <v>46825.5</v>
          </cell>
        </row>
        <row r="5266">
          <cell r="U5266">
            <v>46825.5</v>
          </cell>
        </row>
        <row r="5267">
          <cell r="U5267">
            <v>46825.5</v>
          </cell>
        </row>
        <row r="5268">
          <cell r="U5268">
            <v>46825.5</v>
          </cell>
        </row>
        <row r="5269">
          <cell r="U5269">
            <v>46825.5</v>
          </cell>
        </row>
        <row r="5270">
          <cell r="U5270">
            <v>93651</v>
          </cell>
        </row>
        <row r="5271">
          <cell r="U5271">
            <v>331200</v>
          </cell>
        </row>
        <row r="5272">
          <cell r="U5272">
            <v>285200</v>
          </cell>
        </row>
        <row r="5273">
          <cell r="U5273">
            <v>116820</v>
          </cell>
        </row>
        <row r="5274">
          <cell r="U5274">
            <v>34456</v>
          </cell>
        </row>
        <row r="5275">
          <cell r="U5275">
            <v>263140</v>
          </cell>
        </row>
        <row r="5276">
          <cell r="U5276">
            <v>240000</v>
          </cell>
        </row>
        <row r="5277">
          <cell r="U5277">
            <v>42500</v>
          </cell>
        </row>
        <row r="5278">
          <cell r="U5278">
            <v>124337.9</v>
          </cell>
        </row>
        <row r="5279">
          <cell r="U5279">
            <v>56106.05</v>
          </cell>
        </row>
        <row r="5280">
          <cell r="U5280">
            <v>62000</v>
          </cell>
        </row>
        <row r="5281">
          <cell r="U5281">
            <v>63332</v>
          </cell>
        </row>
        <row r="5282">
          <cell r="U5282">
            <v>13000</v>
          </cell>
        </row>
        <row r="5283">
          <cell r="U5283">
            <v>13500</v>
          </cell>
        </row>
        <row r="5284">
          <cell r="U5284">
            <v>41850</v>
          </cell>
        </row>
        <row r="5285">
          <cell r="U5285">
            <v>197248</v>
          </cell>
        </row>
        <row r="5286">
          <cell r="U5286">
            <v>36763.199999999997</v>
          </cell>
        </row>
        <row r="5287">
          <cell r="U5287">
            <v>18630</v>
          </cell>
        </row>
        <row r="5288">
          <cell r="U5288">
            <v>92404.800000000003</v>
          </cell>
        </row>
        <row r="5289">
          <cell r="U5289">
            <v>41800</v>
          </cell>
        </row>
        <row r="5290">
          <cell r="U5290">
            <v>41325</v>
          </cell>
        </row>
        <row r="5291">
          <cell r="U5291">
            <v>45125</v>
          </cell>
        </row>
        <row r="5292">
          <cell r="U5292">
            <v>2100</v>
          </cell>
        </row>
        <row r="5293">
          <cell r="U5293">
            <v>39078</v>
          </cell>
        </row>
        <row r="5294">
          <cell r="U5294">
            <v>61734.32</v>
          </cell>
        </row>
        <row r="5295">
          <cell r="U5295">
            <v>-61734.32</v>
          </cell>
        </row>
        <row r="5296">
          <cell r="U5296">
            <v>61955.26</v>
          </cell>
        </row>
        <row r="5297">
          <cell r="U5297">
            <v>42497.59</v>
          </cell>
        </row>
        <row r="5298">
          <cell r="U5298">
            <v>-42497.59</v>
          </cell>
        </row>
        <row r="5299">
          <cell r="U5299">
            <v>42649.69</v>
          </cell>
        </row>
        <row r="5300">
          <cell r="U5300">
            <v>561400</v>
          </cell>
        </row>
        <row r="5301">
          <cell r="U5301">
            <v>34534.019999999997</v>
          </cell>
        </row>
        <row r="5302">
          <cell r="U5302">
            <v>47432</v>
          </cell>
        </row>
        <row r="5303">
          <cell r="U5303">
            <v>9300.7199999999993</v>
          </cell>
        </row>
        <row r="5304">
          <cell r="U5304">
            <v>43225</v>
          </cell>
        </row>
        <row r="5305">
          <cell r="U5305">
            <v>8500</v>
          </cell>
        </row>
        <row r="5306">
          <cell r="U5306">
            <v>9950</v>
          </cell>
        </row>
        <row r="5307">
          <cell r="U5307">
            <v>66329.45</v>
          </cell>
        </row>
        <row r="5308">
          <cell r="U5308">
            <v>13300</v>
          </cell>
        </row>
        <row r="5309">
          <cell r="U5309">
            <v>4655</v>
          </cell>
        </row>
        <row r="5310">
          <cell r="U5310">
            <v>4064.1</v>
          </cell>
        </row>
        <row r="5311">
          <cell r="U5311">
            <v>4064.1</v>
          </cell>
        </row>
        <row r="5312">
          <cell r="U5312">
            <v>2544.1</v>
          </cell>
        </row>
        <row r="5313">
          <cell r="U5313">
            <v>3281.3</v>
          </cell>
        </row>
        <row r="5314">
          <cell r="U5314">
            <v>364.8</v>
          </cell>
        </row>
        <row r="5315">
          <cell r="U5315">
            <v>12158.1</v>
          </cell>
        </row>
        <row r="5316">
          <cell r="U5316">
            <v>2728.4</v>
          </cell>
        </row>
        <row r="5317">
          <cell r="U5317">
            <v>16850</v>
          </cell>
        </row>
        <row r="5318">
          <cell r="U5318">
            <v>3900</v>
          </cell>
        </row>
        <row r="5319">
          <cell r="U5319">
            <v>9500</v>
          </cell>
        </row>
        <row r="5320">
          <cell r="U5320">
            <v>42750</v>
          </cell>
        </row>
        <row r="5321">
          <cell r="U5321">
            <v>55100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6793-F29D-4B3B-87E0-5866BAD89133}">
  <dimension ref="A1:P120"/>
  <sheetViews>
    <sheetView showGridLines="0" zoomScaleNormal="100" workbookViewId="0">
      <selection activeCell="C9" sqref="C9"/>
    </sheetView>
  </sheetViews>
  <sheetFormatPr defaultColWidth="0" defaultRowHeight="14.5" zeroHeight="1" x14ac:dyDescent="0.35"/>
  <cols>
    <col min="1" max="1" width="11.26953125" style="2" bestFit="1" customWidth="1"/>
    <col min="2" max="2" width="10.81640625" style="2" bestFit="1" customWidth="1"/>
    <col min="3" max="3" width="17.26953125" style="2" bestFit="1" customWidth="1"/>
    <col min="4" max="4" width="11.81640625" style="2" bestFit="1" customWidth="1"/>
    <col min="5" max="5" width="12.54296875" style="3" bestFit="1" customWidth="1"/>
    <col min="6" max="6" width="10.81640625" style="2" bestFit="1" customWidth="1"/>
    <col min="7" max="7" width="13.1796875" style="2" bestFit="1" customWidth="1"/>
    <col min="8" max="12" width="9.453125" style="2" bestFit="1" customWidth="1"/>
    <col min="13" max="14" width="7.7265625" style="2" customWidth="1"/>
    <col min="15" max="15" width="1.1796875" style="2" customWidth="1"/>
    <col min="16" max="16" width="0" style="2" hidden="1" customWidth="1"/>
    <col min="17" max="16384" width="7.7265625" style="2" hidden="1"/>
  </cols>
  <sheetData>
    <row r="1" spans="1:15" x14ac:dyDescent="0.35">
      <c r="A1" s="1" t="s">
        <v>0</v>
      </c>
      <c r="O1" s="4"/>
    </row>
    <row r="2" spans="1:15" x14ac:dyDescent="0.35">
      <c r="O2" s="4"/>
    </row>
    <row r="3" spans="1:15" x14ac:dyDescent="0.35">
      <c r="A3" s="1" t="s">
        <v>1</v>
      </c>
      <c r="O3" s="4"/>
    </row>
    <row r="4" spans="1:15" x14ac:dyDescent="0.35">
      <c r="O4" s="4"/>
    </row>
    <row r="5" spans="1:15" x14ac:dyDescent="0.35">
      <c r="A5" s="5" t="s">
        <v>2</v>
      </c>
      <c r="B5" s="5"/>
      <c r="C5" s="5"/>
      <c r="E5" s="2"/>
      <c r="O5" s="4"/>
    </row>
    <row r="6" spans="1:15" x14ac:dyDescent="0.35">
      <c r="O6" s="4"/>
    </row>
    <row r="7" spans="1:15" x14ac:dyDescent="0.35">
      <c r="A7" s="6" t="s">
        <v>3</v>
      </c>
      <c r="C7" s="7" t="s">
        <v>4</v>
      </c>
      <c r="E7" s="8"/>
      <c r="O7" s="4"/>
    </row>
    <row r="8" spans="1:15" x14ac:dyDescent="0.35">
      <c r="A8" s="6"/>
      <c r="B8" s="7"/>
      <c r="O8" s="4"/>
    </row>
    <row r="9" spans="1:15" x14ac:dyDescent="0.35">
      <c r="A9" s="6" t="s">
        <v>5</v>
      </c>
      <c r="C9" s="9"/>
      <c r="D9" s="1" t="s">
        <v>6</v>
      </c>
      <c r="O9" s="4"/>
    </row>
    <row r="10" spans="1:15" x14ac:dyDescent="0.35">
      <c r="A10" s="6"/>
      <c r="B10" s="10"/>
      <c r="O10" s="4"/>
    </row>
    <row r="11" spans="1:15" x14ac:dyDescent="0.35">
      <c r="A11" s="6" t="s">
        <v>7</v>
      </c>
      <c r="B11" s="3"/>
      <c r="C11" s="6"/>
      <c r="D11" s="6"/>
      <c r="O11" s="4"/>
    </row>
    <row r="12" spans="1:15" x14ac:dyDescent="0.35">
      <c r="A12" s="6"/>
      <c r="B12" s="3"/>
      <c r="C12" s="6"/>
      <c r="D12" s="6"/>
      <c r="O12" s="4"/>
    </row>
    <row r="13" spans="1:15" x14ac:dyDescent="0.35">
      <c r="A13" s="6" t="s">
        <v>8</v>
      </c>
      <c r="C13" s="11"/>
      <c r="D13" s="11"/>
      <c r="O13" s="4"/>
    </row>
    <row r="14" spans="1:15" x14ac:dyDescent="0.35">
      <c r="A14" s="12" t="s">
        <v>9</v>
      </c>
      <c r="B14" s="12" t="s">
        <v>10</v>
      </c>
      <c r="C14" s="13">
        <f>C9*0.8</f>
        <v>0</v>
      </c>
      <c r="D14" s="14"/>
      <c r="O14" s="4"/>
    </row>
    <row r="15" spans="1:15" x14ac:dyDescent="0.35">
      <c r="A15" s="15" t="s">
        <v>11</v>
      </c>
      <c r="B15" s="15" t="s">
        <v>12</v>
      </c>
      <c r="C15" s="16">
        <f>C9*0.5</f>
        <v>0</v>
      </c>
      <c r="D15" s="16">
        <f>C9*0.8</f>
        <v>0</v>
      </c>
      <c r="O15" s="4"/>
    </row>
    <row r="16" spans="1:15" x14ac:dyDescent="0.35">
      <c r="A16" s="17" t="s">
        <v>13</v>
      </c>
      <c r="B16" s="17" t="s">
        <v>14</v>
      </c>
      <c r="C16" s="18">
        <f>C9*0.5</f>
        <v>0</v>
      </c>
      <c r="D16" s="14"/>
      <c r="O16" s="4"/>
    </row>
    <row r="17" spans="1:15" x14ac:dyDescent="0.35">
      <c r="A17" s="19"/>
      <c r="B17" s="19"/>
      <c r="C17" s="19"/>
      <c r="O17" s="4"/>
    </row>
    <row r="18" spans="1:15" x14ac:dyDescent="0.35">
      <c r="A18" s="20" t="s">
        <v>15</v>
      </c>
      <c r="B18" s="19"/>
      <c r="C18" s="19"/>
      <c r="O18" s="4"/>
    </row>
    <row r="19" spans="1:15" x14ac:dyDescent="0.35">
      <c r="A19" s="20"/>
      <c r="B19" s="19"/>
      <c r="C19" s="19"/>
      <c r="O19" s="4"/>
    </row>
    <row r="20" spans="1:15" x14ac:dyDescent="0.35">
      <c r="A20" s="6" t="s">
        <v>16</v>
      </c>
      <c r="O20" s="4"/>
    </row>
    <row r="21" spans="1:15" ht="58" x14ac:dyDescent="0.35">
      <c r="A21" s="21" t="s">
        <v>17</v>
      </c>
      <c r="B21" s="153" t="s">
        <v>18</v>
      </c>
      <c r="C21" s="153"/>
      <c r="D21" s="153"/>
      <c r="E21" s="22" t="s">
        <v>19</v>
      </c>
      <c r="F21" s="21" t="s">
        <v>20</v>
      </c>
      <c r="O21" s="4"/>
    </row>
    <row r="22" spans="1:15" x14ac:dyDescent="0.35">
      <c r="A22" s="23" t="s">
        <v>21</v>
      </c>
      <c r="B22" s="154" t="s">
        <v>22</v>
      </c>
      <c r="C22" s="154"/>
      <c r="D22" s="154"/>
      <c r="E22" s="24" t="s">
        <v>23</v>
      </c>
      <c r="F22" s="25" t="s">
        <v>24</v>
      </c>
      <c r="O22" s="4"/>
    </row>
    <row r="23" spans="1:15" ht="30.75" customHeight="1" x14ac:dyDescent="0.35">
      <c r="A23" s="23" t="s">
        <v>21</v>
      </c>
      <c r="B23" s="149" t="s">
        <v>25</v>
      </c>
      <c r="C23" s="149"/>
      <c r="D23" s="149"/>
      <c r="E23" s="24" t="s">
        <v>23</v>
      </c>
      <c r="F23" s="25" t="s">
        <v>24</v>
      </c>
      <c r="O23" s="4"/>
    </row>
    <row r="24" spans="1:15" x14ac:dyDescent="0.35">
      <c r="A24" s="23" t="s">
        <v>21</v>
      </c>
      <c r="B24" s="154" t="s">
        <v>26</v>
      </c>
      <c r="C24" s="154"/>
      <c r="D24" s="154"/>
      <c r="E24" s="24" t="s">
        <v>23</v>
      </c>
      <c r="F24" s="25" t="s">
        <v>24</v>
      </c>
      <c r="O24" s="4"/>
    </row>
    <row r="25" spans="1:15" x14ac:dyDescent="0.35">
      <c r="A25" s="23" t="s">
        <v>21</v>
      </c>
      <c r="B25" s="149" t="s">
        <v>27</v>
      </c>
      <c r="C25" s="149"/>
      <c r="D25" s="149"/>
      <c r="E25" s="24" t="s">
        <v>23</v>
      </c>
      <c r="F25" s="25" t="s">
        <v>24</v>
      </c>
      <c r="O25" s="4"/>
    </row>
    <row r="26" spans="1:15" x14ac:dyDescent="0.35">
      <c r="A26" s="23" t="s">
        <v>21</v>
      </c>
      <c r="B26" s="154" t="s">
        <v>28</v>
      </c>
      <c r="C26" s="154"/>
      <c r="D26" s="154"/>
      <c r="E26" s="24" t="s">
        <v>23</v>
      </c>
      <c r="F26" s="25" t="s">
        <v>24</v>
      </c>
      <c r="O26" s="4"/>
    </row>
    <row r="27" spans="1:15" x14ac:dyDescent="0.35">
      <c r="A27" s="23" t="s">
        <v>21</v>
      </c>
      <c r="B27" s="149" t="s">
        <v>29</v>
      </c>
      <c r="C27" s="149"/>
      <c r="D27" s="149"/>
      <c r="E27" s="24" t="s">
        <v>23</v>
      </c>
      <c r="F27" s="25" t="s">
        <v>24</v>
      </c>
      <c r="O27" s="4"/>
    </row>
    <row r="28" spans="1:15" x14ac:dyDescent="0.35">
      <c r="A28" s="26" t="s">
        <v>30</v>
      </c>
      <c r="B28" s="150"/>
      <c r="C28" s="150"/>
      <c r="D28" s="150"/>
      <c r="E28" s="27"/>
      <c r="F28" s="28" t="s">
        <v>11</v>
      </c>
      <c r="O28" s="4"/>
    </row>
    <row r="29" spans="1:15" x14ac:dyDescent="0.35">
      <c r="A29" s="29" t="s">
        <v>31</v>
      </c>
      <c r="B29" s="151"/>
      <c r="C29" s="151"/>
      <c r="D29" s="151"/>
      <c r="E29" s="30"/>
      <c r="F29" s="31" t="s">
        <v>13</v>
      </c>
      <c r="O29" s="4"/>
    </row>
    <row r="30" spans="1:15" x14ac:dyDescent="0.35">
      <c r="A30" s="19"/>
      <c r="B30" s="19"/>
      <c r="C30" s="19"/>
      <c r="D30" s="19"/>
      <c r="E30" s="32"/>
      <c r="O30" s="4"/>
    </row>
    <row r="31" spans="1:15" x14ac:dyDescent="0.35">
      <c r="O31" s="4"/>
    </row>
    <row r="32" spans="1:15" x14ac:dyDescent="0.35">
      <c r="A32" s="6" t="s">
        <v>32</v>
      </c>
      <c r="D32" s="33" t="s">
        <v>24</v>
      </c>
      <c r="O32" s="4"/>
    </row>
    <row r="33" spans="1:15" x14ac:dyDescent="0.35">
      <c r="A33" s="6"/>
      <c r="O33" s="4"/>
    </row>
    <row r="34" spans="1:15" x14ac:dyDescent="0.35">
      <c r="B34" s="152" t="s">
        <v>33</v>
      </c>
      <c r="C34" s="152"/>
      <c r="D34" s="152"/>
      <c r="E34" s="6"/>
      <c r="O34" s="4"/>
    </row>
    <row r="35" spans="1:15" ht="29" x14ac:dyDescent="0.35">
      <c r="A35" s="21" t="s">
        <v>34</v>
      </c>
      <c r="B35" s="22" t="s">
        <v>13</v>
      </c>
      <c r="C35" s="22" t="s">
        <v>11</v>
      </c>
      <c r="D35" s="21" t="s">
        <v>35</v>
      </c>
      <c r="O35" s="4"/>
    </row>
    <row r="36" spans="1:15" x14ac:dyDescent="0.35">
      <c r="A36" s="35" t="s">
        <v>36</v>
      </c>
      <c r="B36" s="36" t="s">
        <v>13</v>
      </c>
      <c r="C36" s="37" t="s">
        <v>11</v>
      </c>
      <c r="D36" s="38" t="s">
        <v>37</v>
      </c>
      <c r="O36" s="4"/>
    </row>
    <row r="37" spans="1:15" x14ac:dyDescent="0.35">
      <c r="A37" s="35" t="s">
        <v>11</v>
      </c>
      <c r="B37" s="36" t="s">
        <v>13</v>
      </c>
      <c r="C37" s="37" t="s">
        <v>11</v>
      </c>
      <c r="D37" s="37" t="s">
        <v>11</v>
      </c>
      <c r="O37" s="4"/>
    </row>
    <row r="38" spans="1:15" x14ac:dyDescent="0.35">
      <c r="A38" s="35" t="s">
        <v>13</v>
      </c>
      <c r="B38" s="36" t="s">
        <v>13</v>
      </c>
      <c r="C38" s="36" t="s">
        <v>13</v>
      </c>
      <c r="D38" s="37" t="s">
        <v>11</v>
      </c>
      <c r="O38" s="4"/>
    </row>
    <row r="39" spans="1:15" x14ac:dyDescent="0.35">
      <c r="B39" s="19"/>
      <c r="C39" s="19"/>
      <c r="D39" s="19"/>
      <c r="O39" s="4"/>
    </row>
    <row r="40" spans="1:15" x14ac:dyDescent="0.35">
      <c r="O40" s="4"/>
    </row>
    <row r="41" spans="1:15" x14ac:dyDescent="0.35">
      <c r="A41" s="6" t="s">
        <v>38</v>
      </c>
      <c r="D41" s="33" t="s">
        <v>24</v>
      </c>
      <c r="O41" s="4"/>
    </row>
    <row r="42" spans="1:15" x14ac:dyDescent="0.35">
      <c r="A42" s="6"/>
      <c r="O42" s="4"/>
    </row>
    <row r="43" spans="1:15" x14ac:dyDescent="0.35">
      <c r="A43" s="34" t="s">
        <v>39</v>
      </c>
      <c r="B43" s="146" t="s">
        <v>40</v>
      </c>
      <c r="C43" s="146"/>
      <c r="D43" s="146"/>
      <c r="E43" s="146"/>
      <c r="O43" s="4"/>
    </row>
    <row r="44" spans="1:15" ht="15" customHeight="1" x14ac:dyDescent="0.35">
      <c r="A44" s="24" t="s">
        <v>24</v>
      </c>
      <c r="B44" s="148" t="s">
        <v>41</v>
      </c>
      <c r="C44" s="148"/>
      <c r="D44" s="148"/>
      <c r="E44" s="148"/>
      <c r="O44" s="4"/>
    </row>
    <row r="45" spans="1:15" ht="15" customHeight="1" x14ac:dyDescent="0.35">
      <c r="A45" s="27" t="s">
        <v>11</v>
      </c>
      <c r="B45" s="148" t="s">
        <v>42</v>
      </c>
      <c r="C45" s="148"/>
      <c r="D45" s="148"/>
      <c r="E45" s="148"/>
      <c r="O45" s="4"/>
    </row>
    <row r="46" spans="1:15" ht="30.75" customHeight="1" x14ac:dyDescent="0.35">
      <c r="A46" s="30" t="s">
        <v>13</v>
      </c>
      <c r="B46" s="148" t="s">
        <v>43</v>
      </c>
      <c r="C46" s="148"/>
      <c r="D46" s="148"/>
      <c r="E46" s="148"/>
      <c r="O46" s="4"/>
    </row>
    <row r="47" spans="1:15" x14ac:dyDescent="0.35">
      <c r="O47" s="4"/>
    </row>
    <row r="48" spans="1:15" x14ac:dyDescent="0.35">
      <c r="O48" s="4"/>
    </row>
    <row r="49" spans="1:15" x14ac:dyDescent="0.35">
      <c r="A49" s="6" t="s">
        <v>44</v>
      </c>
      <c r="O49" s="4"/>
    </row>
    <row r="50" spans="1:15" x14ac:dyDescent="0.35">
      <c r="E50" s="19"/>
      <c r="O50" s="4"/>
    </row>
    <row r="51" spans="1:15" ht="58" x14ac:dyDescent="0.35">
      <c r="A51" s="21" t="s">
        <v>45</v>
      </c>
      <c r="B51" s="21" t="s">
        <v>46</v>
      </c>
      <c r="C51" s="21" t="s">
        <v>47</v>
      </c>
      <c r="D51" s="21" t="s">
        <v>48</v>
      </c>
      <c r="E51" s="21" t="s">
        <v>49</v>
      </c>
      <c r="O51" s="4"/>
    </row>
    <row r="52" spans="1:15" x14ac:dyDescent="0.35">
      <c r="A52" s="35" t="s">
        <v>24</v>
      </c>
      <c r="B52" s="35" t="s">
        <v>24</v>
      </c>
      <c r="C52" s="35" t="str">
        <f t="shared" ref="C52:C60" si="0">A52&amp;" - "&amp;B52</f>
        <v>High - High</v>
      </c>
      <c r="D52" s="12" t="s">
        <v>24</v>
      </c>
      <c r="E52" s="12" t="s">
        <v>50</v>
      </c>
      <c r="O52" s="4"/>
    </row>
    <row r="53" spans="1:15" x14ac:dyDescent="0.35">
      <c r="A53" s="35" t="s">
        <v>11</v>
      </c>
      <c r="B53" s="35" t="s">
        <v>11</v>
      </c>
      <c r="C53" s="35" t="str">
        <f t="shared" si="0"/>
        <v>Medium - Medium</v>
      </c>
      <c r="D53" s="15" t="s">
        <v>11</v>
      </c>
      <c r="E53" s="15" t="s">
        <v>51</v>
      </c>
      <c r="O53" s="4"/>
    </row>
    <row r="54" spans="1:15" x14ac:dyDescent="0.35">
      <c r="A54" s="35" t="s">
        <v>13</v>
      </c>
      <c r="B54" s="35" t="s">
        <v>13</v>
      </c>
      <c r="C54" s="35" t="str">
        <f t="shared" si="0"/>
        <v>Low - Low</v>
      </c>
      <c r="D54" s="17" t="s">
        <v>13</v>
      </c>
      <c r="E54" s="17" t="s">
        <v>52</v>
      </c>
      <c r="O54" s="4"/>
    </row>
    <row r="55" spans="1:15" x14ac:dyDescent="0.35">
      <c r="A55" s="35" t="s">
        <v>24</v>
      </c>
      <c r="B55" s="35" t="s">
        <v>11</v>
      </c>
      <c r="C55" s="35" t="str">
        <f t="shared" si="0"/>
        <v>High - Medium</v>
      </c>
      <c r="D55" s="12" t="s">
        <v>24</v>
      </c>
      <c r="E55" s="12" t="s">
        <v>50</v>
      </c>
      <c r="O55" s="4"/>
    </row>
    <row r="56" spans="1:15" x14ac:dyDescent="0.35">
      <c r="A56" s="35" t="s">
        <v>24</v>
      </c>
      <c r="B56" s="35" t="s">
        <v>13</v>
      </c>
      <c r="C56" s="35" t="str">
        <f t="shared" si="0"/>
        <v>High - Low</v>
      </c>
      <c r="D56" s="15" t="s">
        <v>11</v>
      </c>
      <c r="E56" s="15" t="s">
        <v>51</v>
      </c>
      <c r="O56" s="4"/>
    </row>
    <row r="57" spans="1:15" x14ac:dyDescent="0.35">
      <c r="A57" s="35" t="s">
        <v>11</v>
      </c>
      <c r="B57" s="35" t="s">
        <v>24</v>
      </c>
      <c r="C57" s="35" t="str">
        <f t="shared" si="0"/>
        <v>Medium - High</v>
      </c>
      <c r="D57" s="15" t="s">
        <v>11</v>
      </c>
      <c r="E57" s="15" t="s">
        <v>51</v>
      </c>
      <c r="O57" s="4"/>
    </row>
    <row r="58" spans="1:15" x14ac:dyDescent="0.35">
      <c r="A58" s="35" t="s">
        <v>11</v>
      </c>
      <c r="B58" s="35" t="s">
        <v>13</v>
      </c>
      <c r="C58" s="35" t="str">
        <f t="shared" si="0"/>
        <v>Medium - Low</v>
      </c>
      <c r="D58" s="17" t="s">
        <v>13</v>
      </c>
      <c r="E58" s="17" t="s">
        <v>52</v>
      </c>
      <c r="O58" s="4"/>
    </row>
    <row r="59" spans="1:15" x14ac:dyDescent="0.35">
      <c r="A59" s="35" t="s">
        <v>13</v>
      </c>
      <c r="B59" s="35" t="s">
        <v>11</v>
      </c>
      <c r="C59" s="35" t="str">
        <f t="shared" si="0"/>
        <v>Low - Medium</v>
      </c>
      <c r="D59" s="17" t="s">
        <v>13</v>
      </c>
      <c r="E59" s="17" t="s">
        <v>52</v>
      </c>
      <c r="O59" s="4"/>
    </row>
    <row r="60" spans="1:15" x14ac:dyDescent="0.35">
      <c r="A60" s="35" t="s">
        <v>13</v>
      </c>
      <c r="B60" s="35" t="s">
        <v>24</v>
      </c>
      <c r="C60" s="35" t="str">
        <f t="shared" si="0"/>
        <v>Low - High</v>
      </c>
      <c r="D60" s="15" t="s">
        <v>11</v>
      </c>
      <c r="E60" s="15" t="s">
        <v>51</v>
      </c>
      <c r="O60" s="4"/>
    </row>
    <row r="61" spans="1:15" x14ac:dyDescent="0.35">
      <c r="O61" s="4"/>
    </row>
    <row r="62" spans="1:15" x14ac:dyDescent="0.35">
      <c r="O62" s="4"/>
    </row>
    <row r="63" spans="1:15" x14ac:dyDescent="0.35">
      <c r="O63" s="4"/>
    </row>
    <row r="64" spans="1:15" x14ac:dyDescent="0.35">
      <c r="O64" s="4"/>
    </row>
    <row r="65" spans="1:15" x14ac:dyDescent="0.35">
      <c r="A65" s="6" t="s">
        <v>53</v>
      </c>
      <c r="E65" s="2"/>
      <c r="O65" s="4"/>
    </row>
    <row r="66" spans="1:15" x14ac:dyDescent="0.35">
      <c r="E66" s="2"/>
      <c r="O66" s="4"/>
    </row>
    <row r="67" spans="1:15" ht="43.5" x14ac:dyDescent="0.35">
      <c r="A67" s="21" t="s">
        <v>54</v>
      </c>
      <c r="B67" s="21" t="s">
        <v>39</v>
      </c>
      <c r="C67" s="21" t="s">
        <v>47</v>
      </c>
      <c r="D67" s="21" t="s">
        <v>55</v>
      </c>
      <c r="E67" s="21" t="s">
        <v>3</v>
      </c>
      <c r="G67" s="21" t="s">
        <v>56</v>
      </c>
      <c r="H67" s="21" t="s">
        <v>57</v>
      </c>
      <c r="I67" s="21" t="s">
        <v>58</v>
      </c>
      <c r="O67" s="4"/>
    </row>
    <row r="68" spans="1:15" x14ac:dyDescent="0.35">
      <c r="A68" s="39" t="str">
        <f>D32</f>
        <v>High</v>
      </c>
      <c r="B68" s="39" t="str">
        <f>D41</f>
        <v>High</v>
      </c>
      <c r="C68" s="35" t="str">
        <f>A68&amp;" - "&amp;B68</f>
        <v>High - High</v>
      </c>
      <c r="D68" s="35" t="str">
        <f>VLOOKUP(C68,$C$52:$D$60,2,0)</f>
        <v>High</v>
      </c>
      <c r="E68" s="39" t="str">
        <f>IF(D68="Low","50%",IF(D68="Medium","75%","90%"))</f>
        <v>90%</v>
      </c>
      <c r="G68" s="35" t="s">
        <v>13</v>
      </c>
      <c r="H68" s="39" t="s">
        <v>59</v>
      </c>
      <c r="I68" s="39" t="s">
        <v>60</v>
      </c>
      <c r="O68" s="4"/>
    </row>
    <row r="69" spans="1:15" x14ac:dyDescent="0.35">
      <c r="E69" s="2"/>
      <c r="G69" s="35" t="s">
        <v>11</v>
      </c>
      <c r="H69" s="39" t="s">
        <v>61</v>
      </c>
      <c r="I69" s="39" t="s">
        <v>62</v>
      </c>
      <c r="O69" s="4"/>
    </row>
    <row r="70" spans="1:15" x14ac:dyDescent="0.35">
      <c r="E70" s="2"/>
      <c r="G70" s="35" t="s">
        <v>24</v>
      </c>
      <c r="H70" s="39" t="s">
        <v>63</v>
      </c>
      <c r="I70" s="39" t="s">
        <v>64</v>
      </c>
      <c r="O70" s="4"/>
    </row>
    <row r="71" spans="1:15" x14ac:dyDescent="0.35">
      <c r="A71" s="40" t="s">
        <v>5</v>
      </c>
      <c r="B71" s="41"/>
      <c r="C71" s="42">
        <f>C9</f>
        <v>0</v>
      </c>
      <c r="D71" s="35"/>
      <c r="E71" s="2"/>
      <c r="O71" s="4"/>
    </row>
    <row r="72" spans="1:15" x14ac:dyDescent="0.35">
      <c r="A72" s="40" t="s">
        <v>65</v>
      </c>
      <c r="B72" s="41"/>
      <c r="C72" s="43"/>
      <c r="D72" s="35"/>
      <c r="E72" s="2"/>
      <c r="O72" s="4"/>
    </row>
    <row r="73" spans="1:15" x14ac:dyDescent="0.35">
      <c r="A73" s="40" t="s">
        <v>66</v>
      </c>
      <c r="B73" s="41"/>
      <c r="C73" s="44"/>
      <c r="D73" s="35"/>
      <c r="E73" s="2"/>
      <c r="O73" s="4"/>
    </row>
    <row r="74" spans="1:15" x14ac:dyDescent="0.35">
      <c r="A74" s="40" t="s">
        <v>67</v>
      </c>
      <c r="B74" s="41"/>
      <c r="C74" s="42">
        <f>C71*C73</f>
        <v>0</v>
      </c>
      <c r="D74" s="35"/>
      <c r="E74" s="2"/>
      <c r="O74" s="4"/>
    </row>
    <row r="75" spans="1:15" x14ac:dyDescent="0.35">
      <c r="A75" s="40" t="s">
        <v>68</v>
      </c>
      <c r="B75" s="41"/>
      <c r="C75" s="43"/>
      <c r="D75" s="35"/>
      <c r="E75" s="2"/>
      <c r="O75" s="4"/>
    </row>
    <row r="76" spans="1:15" x14ac:dyDescent="0.35">
      <c r="A76" s="40" t="s">
        <v>69</v>
      </c>
      <c r="B76" s="41"/>
      <c r="C76" s="45"/>
      <c r="D76" s="35"/>
      <c r="E76" s="2"/>
      <c r="O76" s="4"/>
    </row>
    <row r="77" spans="1:15" x14ac:dyDescent="0.35">
      <c r="A77" s="40" t="s">
        <v>70</v>
      </c>
      <c r="B77" s="41"/>
      <c r="C77" s="42">
        <f>C72-C76</f>
        <v>0</v>
      </c>
      <c r="D77" s="35"/>
      <c r="E77" s="2"/>
      <c r="O77" s="4"/>
    </row>
    <row r="78" spans="1:15" x14ac:dyDescent="0.35">
      <c r="A78" s="40" t="s">
        <v>71</v>
      </c>
      <c r="B78" s="41"/>
      <c r="C78" s="46">
        <f>IFERROR(C71/C77,0)</f>
        <v>0</v>
      </c>
      <c r="D78" s="35"/>
      <c r="E78" s="2"/>
      <c r="O78" s="4"/>
    </row>
    <row r="79" spans="1:15" x14ac:dyDescent="0.35">
      <c r="A79" s="40" t="s">
        <v>72</v>
      </c>
      <c r="B79" s="41"/>
      <c r="C79" s="46">
        <f>IF($C$78&lt;L89,M89,IF($C$78&lt;K89,L89,IF($C$78&lt;J89,K89,IF($C$78&lt;I89,J89,IF($C$78&lt;H89,I89,IF(C78&lt;G89,H89,IF(C78&lt;F89,G89,IF(C78&lt;E89,F89,IF($C$78&lt;D89,E89,IF($C$78&lt;C89,D89,IF($C$78&lt;B89,C89,B89)))))))))))</f>
        <v>5.0000000000000001E-3</v>
      </c>
      <c r="D79" s="35">
        <f>IF($D$68=$A$90,HLOOKUP(C79,$B$89:$M$92,2,0),IF($D$68=$A$91,HLOOKUP(C79,$B$89:$M$92,3,0),HLOOKUP(C79,$B$89:$M$92,4,0)))</f>
        <v>500</v>
      </c>
      <c r="E79" s="2"/>
      <c r="O79" s="4"/>
    </row>
    <row r="80" spans="1:15" x14ac:dyDescent="0.35">
      <c r="A80" s="40" t="s">
        <v>73</v>
      </c>
      <c r="B80" s="41"/>
      <c r="C80" s="46">
        <f>IF($C$78&lt;L89,L89,IF($C$78&lt;K89,K89,IF($C$78&lt;J89,J89,IF($C$78&lt;I89,I89,IF($C$78&lt;H89,H89,IF(C78&lt;G89,G89,IF(C78&lt;F89,F89,IF(C78&lt;E89,E89,IF($C$78&lt;D89,D89,IF($C$78&lt;C89,C89,B89))))))))))</f>
        <v>0.01</v>
      </c>
      <c r="D80" s="35">
        <f>IF($D$68=$A$90,HLOOKUP(C80,$B$89:$M$92,2,0),IF($D$68=$A$91,HLOOKUP(C80,$B$89:$M$92,3,0),HLOOKUP(C80,$B$89:$M$92,4,0)))</f>
        <v>250</v>
      </c>
      <c r="E80" s="2"/>
      <c r="O80" s="4"/>
    </row>
    <row r="81" spans="1:15" x14ac:dyDescent="0.35">
      <c r="A81" s="40" t="s">
        <v>74</v>
      </c>
      <c r="B81" s="41"/>
      <c r="C81" s="46">
        <f>C80-C79</f>
        <v>5.0000000000000001E-3</v>
      </c>
      <c r="D81" s="47">
        <f>D80-D79</f>
        <v>-250</v>
      </c>
      <c r="E81" s="2"/>
      <c r="O81" s="4"/>
    </row>
    <row r="82" spans="1:15" x14ac:dyDescent="0.35">
      <c r="A82" s="48" t="s">
        <v>75</v>
      </c>
      <c r="B82" s="48"/>
      <c r="C82" s="49">
        <f>ROUND(IF($C$78&lt;50%,(D81/C81*(C78-C79)+D79),IF(C78&lt;100%,D79,0)),0)</f>
        <v>750</v>
      </c>
      <c r="D82" s="35"/>
      <c r="E82" s="2"/>
      <c r="O82" s="4"/>
    </row>
    <row r="83" spans="1:15" x14ac:dyDescent="0.35">
      <c r="A83" s="48" t="s">
        <v>76</v>
      </c>
      <c r="B83" s="48"/>
      <c r="C83" s="49">
        <f>C75+C82</f>
        <v>750</v>
      </c>
      <c r="D83" s="35"/>
      <c r="E83" s="2"/>
      <c r="O83" s="4"/>
    </row>
    <row r="84" spans="1:15" x14ac:dyDescent="0.35">
      <c r="C84" s="50"/>
      <c r="E84" s="2"/>
      <c r="O84" s="4"/>
    </row>
    <row r="85" spans="1:15" x14ac:dyDescent="0.35">
      <c r="C85" s="51"/>
      <c r="E85" s="2"/>
      <c r="O85" s="4"/>
    </row>
    <row r="86" spans="1:15" x14ac:dyDescent="0.35">
      <c r="A86" s="6" t="s">
        <v>77</v>
      </c>
      <c r="E86" s="2"/>
      <c r="O86" s="4"/>
    </row>
    <row r="87" spans="1:15" x14ac:dyDescent="0.35">
      <c r="A87" s="146" t="s">
        <v>78</v>
      </c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52">
        <v>0.05</v>
      </c>
      <c r="O87" s="4"/>
    </row>
    <row r="88" spans="1:15" ht="27.75" customHeight="1" x14ac:dyDescent="0.35">
      <c r="A88" s="53"/>
      <c r="B88" s="146" t="s">
        <v>79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O88" s="4"/>
    </row>
    <row r="89" spans="1:15" ht="29" x14ac:dyDescent="0.35">
      <c r="A89" s="21" t="s">
        <v>80</v>
      </c>
      <c r="B89" s="54">
        <v>1</v>
      </c>
      <c r="C89" s="54">
        <v>0.5</v>
      </c>
      <c r="D89" s="55">
        <v>0.3</v>
      </c>
      <c r="E89" s="55">
        <v>0.1</v>
      </c>
      <c r="F89" s="55">
        <v>0.08</v>
      </c>
      <c r="G89" s="55">
        <v>0.06</v>
      </c>
      <c r="H89" s="55">
        <v>0.05</v>
      </c>
      <c r="I89" s="55">
        <v>0.04</v>
      </c>
      <c r="J89" s="55">
        <v>0.03</v>
      </c>
      <c r="K89" s="55">
        <v>0.02</v>
      </c>
      <c r="L89" s="55">
        <v>0.01</v>
      </c>
      <c r="M89" s="56">
        <v>5.0000000000000001E-3</v>
      </c>
      <c r="O89" s="4"/>
    </row>
    <row r="90" spans="1:15" x14ac:dyDescent="0.35">
      <c r="A90" s="35" t="s">
        <v>24</v>
      </c>
      <c r="B90" s="39">
        <v>5</v>
      </c>
      <c r="C90" s="39">
        <v>5</v>
      </c>
      <c r="D90" s="39">
        <v>8</v>
      </c>
      <c r="E90" s="39">
        <v>24</v>
      </c>
      <c r="F90" s="39">
        <v>31</v>
      </c>
      <c r="G90" s="39">
        <v>42</v>
      </c>
      <c r="H90" s="39">
        <v>49</v>
      </c>
      <c r="I90" s="39">
        <v>62</v>
      </c>
      <c r="J90" s="39">
        <v>83</v>
      </c>
      <c r="K90" s="39">
        <v>124</v>
      </c>
      <c r="L90" s="39">
        <v>250</v>
      </c>
      <c r="M90" s="39">
        <v>500</v>
      </c>
      <c r="O90" s="4"/>
    </row>
    <row r="91" spans="1:15" x14ac:dyDescent="0.35">
      <c r="A91" s="35" t="s">
        <v>11</v>
      </c>
      <c r="B91" s="39">
        <v>3</v>
      </c>
      <c r="C91" s="39">
        <v>3</v>
      </c>
      <c r="D91" s="39">
        <v>5</v>
      </c>
      <c r="E91" s="39">
        <v>15</v>
      </c>
      <c r="F91" s="39">
        <v>19</v>
      </c>
      <c r="G91" s="39">
        <v>25</v>
      </c>
      <c r="H91" s="39">
        <v>30</v>
      </c>
      <c r="I91" s="39">
        <v>37</v>
      </c>
      <c r="J91" s="39">
        <v>50</v>
      </c>
      <c r="K91" s="39">
        <v>74</v>
      </c>
      <c r="L91" s="39">
        <v>148</v>
      </c>
      <c r="M91" s="39">
        <v>297</v>
      </c>
      <c r="O91" s="4"/>
    </row>
    <row r="92" spans="1:15" x14ac:dyDescent="0.35">
      <c r="A92" s="35" t="s">
        <v>13</v>
      </c>
      <c r="B92" s="39">
        <v>2</v>
      </c>
      <c r="C92" s="39">
        <v>2</v>
      </c>
      <c r="D92" s="39">
        <v>3</v>
      </c>
      <c r="E92" s="39">
        <v>8</v>
      </c>
      <c r="F92" s="39">
        <v>10</v>
      </c>
      <c r="G92" s="39">
        <v>13</v>
      </c>
      <c r="H92" s="39">
        <v>15</v>
      </c>
      <c r="I92" s="39">
        <v>18</v>
      </c>
      <c r="J92" s="39">
        <v>25</v>
      </c>
      <c r="K92" s="39">
        <v>37</v>
      </c>
      <c r="L92" s="39">
        <v>73</v>
      </c>
      <c r="M92" s="39">
        <v>147</v>
      </c>
      <c r="O92" s="4"/>
    </row>
    <row r="93" spans="1:15" x14ac:dyDescent="0.35">
      <c r="E93" s="2"/>
      <c r="O93" s="4"/>
    </row>
    <row r="94" spans="1:15" x14ac:dyDescent="0.35">
      <c r="A94" s="7" t="s">
        <v>81</v>
      </c>
      <c r="E94" s="2"/>
      <c r="O94" s="4"/>
    </row>
    <row r="95" spans="1:15" x14ac:dyDescent="0.35">
      <c r="A95" s="147" t="s">
        <v>82</v>
      </c>
      <c r="B95" s="147"/>
      <c r="C95" s="147"/>
      <c r="D95" s="147"/>
      <c r="E95" s="147"/>
      <c r="F95" s="147"/>
      <c r="G95" s="147"/>
      <c r="H95" s="3"/>
      <c r="I95" s="3"/>
      <c r="J95" s="3"/>
      <c r="K95" s="3"/>
      <c r="L95" s="3"/>
      <c r="O95" s="4"/>
    </row>
    <row r="96" spans="1:15" x14ac:dyDescent="0.35">
      <c r="A96" s="147"/>
      <c r="B96" s="147"/>
      <c r="C96" s="147"/>
      <c r="D96" s="147"/>
      <c r="E96" s="147"/>
      <c r="F96" s="147"/>
      <c r="G96" s="147"/>
      <c r="H96" s="3"/>
      <c r="I96" s="3"/>
      <c r="J96" s="3"/>
      <c r="K96" s="3"/>
      <c r="L96" s="3"/>
      <c r="O96" s="4"/>
    </row>
    <row r="97" spans="1:15" x14ac:dyDescent="0.35">
      <c r="A97" s="147"/>
      <c r="B97" s="147"/>
      <c r="C97" s="147"/>
      <c r="D97" s="147"/>
      <c r="E97" s="147"/>
      <c r="F97" s="147"/>
      <c r="G97" s="147"/>
      <c r="H97" s="3"/>
      <c r="I97" s="3"/>
      <c r="J97" s="3"/>
      <c r="K97" s="3"/>
      <c r="L97" s="3"/>
      <c r="O97" s="4"/>
    </row>
    <row r="98" spans="1:15" x14ac:dyDescent="0.35">
      <c r="A98" s="147"/>
      <c r="B98" s="147"/>
      <c r="C98" s="147"/>
      <c r="D98" s="147"/>
      <c r="E98" s="147"/>
      <c r="F98" s="147"/>
      <c r="G98" s="147"/>
      <c r="H98" s="3"/>
      <c r="I98" s="3"/>
      <c r="J98" s="3"/>
      <c r="K98" s="3"/>
      <c r="L98" s="3"/>
      <c r="O98" s="4"/>
    </row>
    <row r="99" spans="1:15" x14ac:dyDescent="0.35">
      <c r="A99" s="147"/>
      <c r="B99" s="147"/>
      <c r="C99" s="147"/>
      <c r="D99" s="147"/>
      <c r="E99" s="147"/>
      <c r="F99" s="147"/>
      <c r="G99" s="147"/>
      <c r="H99" s="3"/>
      <c r="I99" s="3"/>
      <c r="J99" s="3"/>
      <c r="K99" s="3"/>
      <c r="L99" s="3"/>
      <c r="O99" s="4"/>
    </row>
    <row r="100" spans="1:15" x14ac:dyDescent="0.35">
      <c r="A100" s="147"/>
      <c r="B100" s="147"/>
      <c r="C100" s="147"/>
      <c r="D100" s="147"/>
      <c r="E100" s="147"/>
      <c r="F100" s="147"/>
      <c r="G100" s="147"/>
      <c r="H100" s="3"/>
      <c r="I100" s="3"/>
      <c r="J100" s="3"/>
      <c r="K100" s="3"/>
      <c r="L100" s="3"/>
      <c r="O100" s="4"/>
    </row>
    <row r="101" spans="1:15" x14ac:dyDescent="0.35">
      <c r="A101" s="3"/>
      <c r="B101" s="3"/>
      <c r="C101" s="3"/>
      <c r="D101" s="3"/>
      <c r="F101" s="3"/>
      <c r="G101" s="3"/>
      <c r="H101" s="3"/>
      <c r="I101" s="3"/>
      <c r="J101" s="3"/>
      <c r="K101" s="3"/>
      <c r="L101" s="3"/>
      <c r="O101" s="4"/>
    </row>
    <row r="102" spans="1:15" x14ac:dyDescent="0.35">
      <c r="E102" s="2"/>
      <c r="O102" s="4"/>
    </row>
    <row r="103" spans="1:15" x14ac:dyDescent="0.35">
      <c r="A103" s="6" t="s">
        <v>83</v>
      </c>
      <c r="E103" s="2"/>
      <c r="O103" s="4"/>
    </row>
    <row r="104" spans="1:15" x14ac:dyDescent="0.35">
      <c r="A104" s="146" t="s">
        <v>78</v>
      </c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57">
        <v>0.05</v>
      </c>
      <c r="O104" s="4"/>
    </row>
    <row r="105" spans="1:15" ht="24.75" customHeight="1" x14ac:dyDescent="0.35">
      <c r="A105" s="53"/>
      <c r="B105" s="146" t="s">
        <v>79</v>
      </c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O105" s="4"/>
    </row>
    <row r="106" spans="1:15" ht="29" x14ac:dyDescent="0.35">
      <c r="A106" s="21" t="s">
        <v>80</v>
      </c>
      <c r="B106" s="58" t="s">
        <v>84</v>
      </c>
      <c r="C106" s="55">
        <v>0.3</v>
      </c>
      <c r="D106" s="55">
        <v>0.1</v>
      </c>
      <c r="E106" s="55">
        <v>0.08</v>
      </c>
      <c r="F106" s="55">
        <v>0.06</v>
      </c>
      <c r="G106" s="55">
        <v>0.05</v>
      </c>
      <c r="H106" s="55">
        <v>0.04</v>
      </c>
      <c r="I106" s="55">
        <v>0.03</v>
      </c>
      <c r="J106" s="55">
        <v>0.02</v>
      </c>
      <c r="K106" s="55">
        <v>0.01</v>
      </c>
      <c r="L106" s="56">
        <v>5.0000000000000001E-3</v>
      </c>
      <c r="O106" s="4"/>
    </row>
    <row r="107" spans="1:15" x14ac:dyDescent="0.35">
      <c r="A107" s="35" t="s">
        <v>24</v>
      </c>
      <c r="B107" s="39">
        <v>6</v>
      </c>
      <c r="C107" s="39">
        <v>10</v>
      </c>
      <c r="D107" s="39">
        <v>29</v>
      </c>
      <c r="E107" s="39">
        <v>37</v>
      </c>
      <c r="F107" s="39">
        <v>50</v>
      </c>
      <c r="G107" s="39">
        <v>59</v>
      </c>
      <c r="H107" s="39">
        <v>74</v>
      </c>
      <c r="I107" s="39">
        <v>100</v>
      </c>
      <c r="J107" s="39">
        <v>149</v>
      </c>
      <c r="K107" s="39">
        <v>300</v>
      </c>
      <c r="L107" s="39">
        <v>600</v>
      </c>
      <c r="O107" s="4"/>
    </row>
    <row r="108" spans="1:15" x14ac:dyDescent="0.35">
      <c r="A108" s="35" t="s">
        <v>11</v>
      </c>
      <c r="B108" s="39">
        <v>4</v>
      </c>
      <c r="C108" s="39">
        <v>6</v>
      </c>
      <c r="D108" s="39">
        <v>18</v>
      </c>
      <c r="E108" s="39">
        <v>23</v>
      </c>
      <c r="F108" s="39">
        <v>30</v>
      </c>
      <c r="G108" s="39">
        <v>36</v>
      </c>
      <c r="H108" s="39">
        <v>44</v>
      </c>
      <c r="I108" s="39">
        <v>60</v>
      </c>
      <c r="J108" s="39">
        <v>89</v>
      </c>
      <c r="K108" s="39">
        <v>178</v>
      </c>
      <c r="L108" s="39">
        <v>356</v>
      </c>
      <c r="O108" s="4"/>
    </row>
    <row r="109" spans="1:15" x14ac:dyDescent="0.35">
      <c r="A109" s="35" t="s">
        <v>13</v>
      </c>
      <c r="B109" s="39">
        <v>2</v>
      </c>
      <c r="C109" s="39">
        <v>4</v>
      </c>
      <c r="D109" s="39">
        <v>10</v>
      </c>
      <c r="E109" s="39">
        <v>12</v>
      </c>
      <c r="F109" s="39">
        <v>16</v>
      </c>
      <c r="G109" s="39">
        <v>18</v>
      </c>
      <c r="H109" s="39">
        <v>22</v>
      </c>
      <c r="I109" s="39">
        <v>30</v>
      </c>
      <c r="J109" s="39">
        <v>44</v>
      </c>
      <c r="K109" s="39">
        <v>88</v>
      </c>
      <c r="L109" s="39">
        <v>176</v>
      </c>
      <c r="O109" s="4"/>
    </row>
    <row r="110" spans="1:15" x14ac:dyDescent="0.35">
      <c r="E110" s="2"/>
      <c r="O110" s="4"/>
    </row>
    <row r="111" spans="1:15" x14ac:dyDescent="0.35">
      <c r="A111" s="7" t="s">
        <v>85</v>
      </c>
      <c r="E111" s="2"/>
      <c r="O111" s="4"/>
    </row>
    <row r="112" spans="1:15" x14ac:dyDescent="0.35">
      <c r="A112" s="147" t="s">
        <v>82</v>
      </c>
      <c r="B112" s="147"/>
      <c r="C112" s="147"/>
      <c r="D112" s="147"/>
      <c r="E112" s="147"/>
      <c r="F112" s="147"/>
      <c r="G112" s="147"/>
      <c r="O112" s="4"/>
    </row>
    <row r="113" spans="1:15" x14ac:dyDescent="0.35">
      <c r="A113" s="147"/>
      <c r="B113" s="147"/>
      <c r="C113" s="147"/>
      <c r="D113" s="147"/>
      <c r="E113" s="147"/>
      <c r="F113" s="147"/>
      <c r="G113" s="147"/>
      <c r="O113" s="4"/>
    </row>
    <row r="114" spans="1:15" x14ac:dyDescent="0.35">
      <c r="A114" s="147"/>
      <c r="B114" s="147"/>
      <c r="C114" s="147"/>
      <c r="D114" s="147"/>
      <c r="E114" s="147"/>
      <c r="F114" s="147"/>
      <c r="G114" s="147"/>
      <c r="O114" s="4"/>
    </row>
    <row r="115" spans="1:15" x14ac:dyDescent="0.35">
      <c r="A115" s="147"/>
      <c r="B115" s="147"/>
      <c r="C115" s="147"/>
      <c r="D115" s="147"/>
      <c r="E115" s="147"/>
      <c r="F115" s="147"/>
      <c r="G115" s="147"/>
      <c r="O115" s="4"/>
    </row>
    <row r="116" spans="1:15" x14ac:dyDescent="0.35">
      <c r="A116" s="147"/>
      <c r="B116" s="147"/>
      <c r="C116" s="147"/>
      <c r="D116" s="147"/>
      <c r="E116" s="147"/>
      <c r="F116" s="147"/>
      <c r="G116" s="147"/>
      <c r="O116" s="4"/>
    </row>
    <row r="117" spans="1:15" x14ac:dyDescent="0.35">
      <c r="A117" s="147"/>
      <c r="B117" s="147"/>
      <c r="C117" s="147"/>
      <c r="D117" s="147"/>
      <c r="E117" s="147"/>
      <c r="F117" s="147"/>
      <c r="G117" s="147"/>
      <c r="O117" s="4"/>
    </row>
    <row r="118" spans="1:15" x14ac:dyDescent="0.35">
      <c r="E118" s="2"/>
      <c r="O118" s="4"/>
    </row>
    <row r="119" spans="1:15" x14ac:dyDescent="0.35">
      <c r="O119" s="4"/>
    </row>
    <row r="120" spans="1:15" ht="6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</sheetData>
  <mergeCells count="20">
    <mergeCell ref="B44:E44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4:D34"/>
    <mergeCell ref="B43:E43"/>
    <mergeCell ref="B105:L105"/>
    <mergeCell ref="A112:G117"/>
    <mergeCell ref="B45:E45"/>
    <mergeCell ref="B46:E46"/>
    <mergeCell ref="A87:L87"/>
    <mergeCell ref="B88:M88"/>
    <mergeCell ref="A95:G100"/>
    <mergeCell ref="A104:K104"/>
  </mergeCells>
  <dataValidations count="1">
    <dataValidation type="list" allowBlank="1" showInputMessage="1" showErrorMessage="1" sqref="D32:D33 D41:D42" xr:uid="{001D8285-DAC3-4CD8-ABC2-BC6CA8FA398E}">
      <formula1>$A$44:$A$46</formula1>
    </dataValidation>
  </dataValidations>
  <pageMargins left="0.7" right="0.7" top="0.75" bottom="0.75" header="0.3" footer="0.3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9811-C996-4A79-8546-13270970C035}">
  <dimension ref="A1:Y1639"/>
  <sheetViews>
    <sheetView showGridLines="0" tabSelected="1" view="pageBreakPreview" topLeftCell="A19" zoomScale="94" zoomScaleNormal="100" zoomScaleSheetLayoutView="100" workbookViewId="0">
      <selection activeCell="B38" sqref="B38"/>
    </sheetView>
  </sheetViews>
  <sheetFormatPr defaultColWidth="9.1796875" defaultRowHeight="13" x14ac:dyDescent="0.3"/>
  <cols>
    <col min="1" max="1" width="24" style="60" customWidth="1"/>
    <col min="2" max="2" width="16" style="60" bestFit="1" customWidth="1"/>
    <col min="3" max="3" width="18.7265625" style="60" customWidth="1"/>
    <col min="4" max="4" width="15.7265625" style="60" customWidth="1"/>
    <col min="5" max="5" width="9.1796875" style="60"/>
    <col min="6" max="6" width="10.1796875" style="60" bestFit="1" customWidth="1"/>
    <col min="7" max="13" width="9.1796875" style="60"/>
    <col min="14" max="14" width="6.1796875" style="60" customWidth="1"/>
    <col min="15" max="15" width="11.1796875" style="60" customWidth="1"/>
    <col min="16" max="16" width="9.1796875" style="60" customWidth="1"/>
    <col min="17" max="17" width="6.1796875" style="60" bestFit="1" customWidth="1"/>
    <col min="18" max="18" width="11.1796875" style="60" bestFit="1" customWidth="1"/>
    <col min="19" max="19" width="9.1796875" style="60" customWidth="1"/>
    <col min="20" max="20" width="6.1796875" style="60" bestFit="1" customWidth="1"/>
    <col min="21" max="21" width="11.1796875" style="60" customWidth="1"/>
    <col min="22" max="22" width="9.1796875" style="60" customWidth="1"/>
    <col min="23" max="23" width="6.1796875" style="60" bestFit="1" customWidth="1"/>
    <col min="24" max="24" width="11.1796875" style="60" customWidth="1"/>
    <col min="25" max="26" width="9.1796875" style="60" customWidth="1"/>
    <col min="27" max="16384" width="9.1796875" style="60"/>
  </cols>
  <sheetData>
    <row r="1" spans="1:25" ht="19.5" x14ac:dyDescent="0.45">
      <c r="A1" s="59" t="s">
        <v>0</v>
      </c>
    </row>
    <row r="2" spans="1:25" ht="17" x14ac:dyDescent="0.4">
      <c r="A2" s="61"/>
    </row>
    <row r="3" spans="1:25" ht="14.5" x14ac:dyDescent="0.35">
      <c r="A3" s="62"/>
      <c r="E3" s="60" t="s">
        <v>86</v>
      </c>
      <c r="F3" s="63">
        <v>45681</v>
      </c>
      <c r="N3" s="64" t="s">
        <v>87</v>
      </c>
      <c r="O3" s="64"/>
      <c r="P3" s="64"/>
      <c r="Q3" s="64"/>
      <c r="R3" s="65" t="e">
        <f>((LOG(2*PI()*R14) / 2 + R14*LOG(R14/EXP(1)))-((LOG(2*PI()*(R14-B24))/2+((R14-B24)*LOG((R14-B24)/EXP(1))))))</f>
        <v>#DIV/0!</v>
      </c>
    </row>
    <row r="4" spans="1:25" ht="14.5" x14ac:dyDescent="0.35">
      <c r="A4" s="62"/>
      <c r="C4" s="66"/>
      <c r="E4" s="60" t="s">
        <v>88</v>
      </c>
      <c r="F4" s="67">
        <v>0.62361111111111112</v>
      </c>
      <c r="N4" s="64" t="s">
        <v>89</v>
      </c>
      <c r="O4" s="64"/>
      <c r="P4" s="64"/>
      <c r="Q4" s="64"/>
      <c r="R4" s="65" t="e">
        <f>B24*LOG((R14),10)</f>
        <v>#DIV/0!</v>
      </c>
      <c r="S4" s="66"/>
      <c r="T4" s="68"/>
    </row>
    <row r="5" spans="1:25" ht="14.5" x14ac:dyDescent="0.35">
      <c r="A5" s="62"/>
      <c r="N5" s="69" t="s">
        <v>90</v>
      </c>
      <c r="O5" s="69"/>
      <c r="P5" s="69"/>
      <c r="Q5" s="69"/>
      <c r="R5" s="70" t="str">
        <f>IFERROR(_xlfn.CONCAT((IF(ROUND(1-POWER(10,R3-R4),3)*100=100,"close to 100",ROUND(1-POWER(10,R3-R4),3)*100)),"%"),"close to 100%")</f>
        <v>close to 100%</v>
      </c>
    </row>
    <row r="6" spans="1:25" ht="14.5" x14ac:dyDescent="0.35">
      <c r="A6" s="71"/>
      <c r="R6" s="68"/>
      <c r="S6" s="68"/>
    </row>
    <row r="7" spans="1:25" ht="14.5" x14ac:dyDescent="0.35">
      <c r="A7" s="72"/>
      <c r="R7" s="68"/>
    </row>
    <row r="8" spans="1:25" ht="16" x14ac:dyDescent="0.4">
      <c r="A8" s="73" t="s">
        <v>91</v>
      </c>
    </row>
    <row r="9" spans="1:25" ht="14.5" x14ac:dyDescent="0.35">
      <c r="A9" s="72"/>
    </row>
    <row r="10" spans="1:25" ht="14.5" x14ac:dyDescent="0.35">
      <c r="A10" s="72"/>
      <c r="N10" s="74" t="s">
        <v>92</v>
      </c>
      <c r="R10" s="75" t="e">
        <f>QUOTIENT(B24,200)+MAX(B24/200-QUOTIENT(B24,200),1)+1</f>
        <v>#DIV/0!</v>
      </c>
    </row>
    <row r="11" spans="1:25" ht="14.5" x14ac:dyDescent="0.35">
      <c r="A11" s="76" t="s">
        <v>93</v>
      </c>
      <c r="B11" s="142"/>
    </row>
    <row r="12" spans="1:25" ht="18" x14ac:dyDescent="0.4">
      <c r="N12" s="77"/>
    </row>
    <row r="13" spans="1:25" ht="18" x14ac:dyDescent="0.4">
      <c r="N13" s="77"/>
    </row>
    <row r="14" spans="1:25" ht="14.5" x14ac:dyDescent="0.35">
      <c r="N14" s="74" t="s">
        <v>94</v>
      </c>
      <c r="O14" s="74"/>
      <c r="P14" s="74"/>
      <c r="R14" s="78">
        <v>18</v>
      </c>
      <c r="Y14" s="79">
        <f>A3</f>
        <v>0</v>
      </c>
    </row>
    <row r="15" spans="1:25" ht="14.5" x14ac:dyDescent="0.35">
      <c r="A15" s="80" t="s">
        <v>95</v>
      </c>
      <c r="B15" s="142" t="s">
        <v>24</v>
      </c>
      <c r="C15" s="81" t="s">
        <v>96</v>
      </c>
      <c r="N15" s="81" t="e">
        <f ca="1">IF(SUM($P$18:$P$417,$S$18:$S$417,$V$18:$V$417,$Y$18:$Y$417)&gt;$B$24,"Error-duplicate values","")</f>
        <v>#DIV/0!</v>
      </c>
      <c r="O15" s="82"/>
      <c r="P15" s="82"/>
      <c r="Q15" s="83"/>
      <c r="R15" s="84" t="e">
        <f>_xlfn.CONCAT(MIN(B24,R14)," samples are selected")</f>
        <v>#DIV/0!</v>
      </c>
      <c r="Y15" s="79">
        <f>A4</f>
        <v>0</v>
      </c>
    </row>
    <row r="16" spans="1:25" ht="14.5" x14ac:dyDescent="0.35">
      <c r="A16" s="85" t="s">
        <v>8</v>
      </c>
      <c r="B16" s="86" t="e">
        <f>IF(B21/B11&gt;=0.8,"High",IF(B21/B11&gt;=0.5,"Medium","Low"))</f>
        <v>#DIV/0!</v>
      </c>
      <c r="C16" s="81"/>
      <c r="Y16" s="79">
        <f>A5</f>
        <v>0</v>
      </c>
    </row>
    <row r="17" spans="1:25" x14ac:dyDescent="0.3">
      <c r="A17" s="87" t="s">
        <v>97</v>
      </c>
      <c r="B17" s="88" t="e">
        <f>VLOOKUP($B$15,$A$57:$D$60,MATCH($B$16,$A$57:$D$57,0),0)</f>
        <v>#DIV/0!</v>
      </c>
      <c r="N17" s="69" t="s">
        <v>98</v>
      </c>
      <c r="O17" s="69" t="s">
        <v>99</v>
      </c>
      <c r="P17" s="89" t="s">
        <v>100</v>
      </c>
      <c r="Q17" s="69" t="e">
        <f>IF(Q18="","","Sr. No.")</f>
        <v>#DIV/0!</v>
      </c>
      <c r="R17" s="69" t="e">
        <f>IF(Q18="","","Sample No.")</f>
        <v>#DIV/0!</v>
      </c>
      <c r="S17" s="89" t="s">
        <v>100</v>
      </c>
      <c r="T17" s="69" t="e">
        <f>IF(T18="","","Sr. No.")</f>
        <v>#DIV/0!</v>
      </c>
      <c r="U17" s="69" t="e">
        <f>IF(T18="","","Sample No.")</f>
        <v>#DIV/0!</v>
      </c>
      <c r="V17" s="89" t="s">
        <v>100</v>
      </c>
      <c r="W17" s="69" t="e">
        <f>IF(W18="","","Sr. No.")</f>
        <v>#DIV/0!</v>
      </c>
      <c r="X17" s="69" t="e">
        <f>IF(W18="","","Sample No.")</f>
        <v>#DIV/0!</v>
      </c>
      <c r="Y17" s="89" t="s">
        <v>100</v>
      </c>
    </row>
    <row r="18" spans="1:25" ht="14.5" x14ac:dyDescent="0.35">
      <c r="A18" s="85" t="s">
        <v>101</v>
      </c>
      <c r="B18" s="142" t="s">
        <v>24</v>
      </c>
      <c r="C18" s="81" t="s">
        <v>102</v>
      </c>
      <c r="N18" s="90">
        <v>1</v>
      </c>
      <c r="O18" s="90">
        <f t="shared" ref="O18:O81" ca="1" si="0">IF(ISNUMBER(N18),RANDBETWEEN(1,$R$14),"")</f>
        <v>3</v>
      </c>
      <c r="P18" s="91">
        <f t="shared" ref="P18:P81" ca="1" si="1">IF(O18="","",COUNTIF($O$18:$O$417,O18)+COUNTIF($R$18:$R$417,O18)+COUNTIF($U$18:$U$417,O18)+COUNTIF($X$18:$X$417,O18))</f>
        <v>1</v>
      </c>
      <c r="Q18" s="90" t="e">
        <f>IF(AND(N67&lt;$B$24,N67&lt;$R$14),N67+1,"")</f>
        <v>#DIV/0!</v>
      </c>
      <c r="R18" s="90" t="str">
        <f t="shared" ref="R18:R81" ca="1" si="2">IF(ISNUMBER(Q18),RANDBETWEEN(1,$R$14),"")</f>
        <v/>
      </c>
      <c r="S18" s="91" t="str">
        <f t="shared" ref="S18:S81" ca="1" si="3">IF(R18="","",COUNTIF($O$18:$O$417,R18)+COUNTIF($R$18:$R$417,R18)+COUNTIF($U$18:$U$417,R18)+COUNTIF($X$18:$X$417,R18))</f>
        <v/>
      </c>
      <c r="T18" s="90" t="e">
        <f>IF(AND(Q67&lt;$B$24,Q67&lt;$R$14),Q67+1,"")</f>
        <v>#DIV/0!</v>
      </c>
      <c r="U18" s="90" t="str">
        <f t="shared" ref="U18:U81" ca="1" si="4">IF(ISNUMBER(T18),RANDBETWEEN(1,$R$14),"")</f>
        <v/>
      </c>
      <c r="V18" s="91" t="str">
        <f t="shared" ref="V18:V81" ca="1" si="5">IF(U18="","",COUNTIF($O$18:$O$417,U18)+COUNTIF($R$18:$R$417,U18)+COUNTIF($U$18:$U$417,U18)+COUNTIF($X$18:$X$417,U18))</f>
        <v/>
      </c>
      <c r="W18" s="90" t="e">
        <f>IF(AND(T67&lt;$B$24,T67&lt;$R$14),T67+1,"")</f>
        <v>#DIV/0!</v>
      </c>
      <c r="X18" s="90" t="str">
        <f t="shared" ref="X18:X81" ca="1" si="6">IF(ISNUMBER(W18),RANDBETWEEN(1,$R$14),"")</f>
        <v/>
      </c>
      <c r="Y18" s="91" t="str">
        <f t="shared" ref="Y18:Y81" ca="1" si="7">IF(X18="","",COUNTIF($O$18:$O$417,X18)+COUNTIF($R$18:$R$417,X18)+COUNTIF($U$18:$U$417,X18)+COUNTIF($X$18:$X$417,X18))</f>
        <v/>
      </c>
    </row>
    <row r="19" spans="1:25" ht="14.5" x14ac:dyDescent="0.35">
      <c r="A19" s="92" t="s">
        <v>103</v>
      </c>
      <c r="B19" s="93" t="e">
        <f>IF($B$17="High/Significant",VLOOKUP($B$18,$B$45:$C$47,2,0),IF($B$17="Medium",VLOOKUP($B$18,$B$48:$C$50,2,0),VLOOKUP($B$18,$B$51:$C$53,2,0)))</f>
        <v>#DIV/0!</v>
      </c>
      <c r="N19" s="90" t="e">
        <f t="shared" ref="N19:N67" si="8">IF(AND(N18&lt;$B$24,N18&lt;$R$14),N18+1,"")</f>
        <v>#DIV/0!</v>
      </c>
      <c r="O19" s="90" t="str">
        <f t="shared" ca="1" si="0"/>
        <v/>
      </c>
      <c r="P19" s="91" t="str">
        <f t="shared" ca="1" si="1"/>
        <v/>
      </c>
      <c r="Q19" s="90" t="e">
        <f t="shared" ref="Q19:Q67" si="9">IF(AND(Q18&lt;$B$24,Q18&lt;$R$14),Q18+1,"")</f>
        <v>#DIV/0!</v>
      </c>
      <c r="R19" s="90" t="str">
        <f t="shared" ca="1" si="2"/>
        <v/>
      </c>
      <c r="S19" s="91" t="str">
        <f t="shared" ca="1" si="3"/>
        <v/>
      </c>
      <c r="T19" s="90" t="e">
        <f t="shared" ref="T19:T67" si="10">IF(AND(T18&lt;$B$24,T18&lt;$R$14),T18+1,"")</f>
        <v>#DIV/0!</v>
      </c>
      <c r="U19" s="90" t="str">
        <f t="shared" ca="1" si="4"/>
        <v/>
      </c>
      <c r="V19" s="91" t="str">
        <f t="shared" ca="1" si="5"/>
        <v/>
      </c>
      <c r="W19" s="90" t="e">
        <f t="shared" ref="W19:W67" si="11">IF(AND(W18&lt;$B$24,W18&lt;$R$14),W18+1,"")</f>
        <v>#DIV/0!</v>
      </c>
      <c r="X19" s="90" t="str">
        <f t="shared" ca="1" si="6"/>
        <v/>
      </c>
      <c r="Y19" s="91" t="str">
        <f t="shared" ca="1" si="7"/>
        <v/>
      </c>
    </row>
    <row r="20" spans="1:25" ht="14.5" x14ac:dyDescent="0.35">
      <c r="A20" s="76" t="s">
        <v>104</v>
      </c>
      <c r="B20" s="94" t="e">
        <f>VLOOKUP($B$19,$C$44:$D$53,2,0)</f>
        <v>#DIV/0!</v>
      </c>
      <c r="N20" s="90" t="e">
        <f t="shared" si="8"/>
        <v>#DIV/0!</v>
      </c>
      <c r="O20" s="90" t="str">
        <f t="shared" ca="1" si="0"/>
        <v/>
      </c>
      <c r="P20" s="91" t="str">
        <f t="shared" ca="1" si="1"/>
        <v/>
      </c>
      <c r="Q20" s="90" t="e">
        <f t="shared" si="9"/>
        <v>#DIV/0!</v>
      </c>
      <c r="R20" s="90" t="str">
        <f t="shared" ca="1" si="2"/>
        <v/>
      </c>
      <c r="S20" s="91" t="str">
        <f t="shared" ca="1" si="3"/>
        <v/>
      </c>
      <c r="T20" s="90" t="e">
        <f t="shared" si="10"/>
        <v>#DIV/0!</v>
      </c>
      <c r="U20" s="90" t="str">
        <f t="shared" ca="1" si="4"/>
        <v/>
      </c>
      <c r="V20" s="91" t="str">
        <f t="shared" ca="1" si="5"/>
        <v/>
      </c>
      <c r="W20" s="90" t="e">
        <f t="shared" si="11"/>
        <v>#DIV/0!</v>
      </c>
      <c r="X20" s="90" t="str">
        <f t="shared" ca="1" si="6"/>
        <v/>
      </c>
      <c r="Y20" s="91" t="str">
        <f t="shared" ca="1" si="7"/>
        <v/>
      </c>
    </row>
    <row r="21" spans="1:25" ht="14.5" x14ac:dyDescent="0.35">
      <c r="A21" s="85" t="s">
        <v>105</v>
      </c>
      <c r="B21" s="142">
        <v>676065.26</v>
      </c>
      <c r="C21" s="81" t="s">
        <v>106</v>
      </c>
      <c r="N21" s="90" t="e">
        <f t="shared" si="8"/>
        <v>#DIV/0!</v>
      </c>
      <c r="O21" s="90" t="str">
        <f t="shared" ca="1" si="0"/>
        <v/>
      </c>
      <c r="P21" s="91" t="str">
        <f t="shared" ca="1" si="1"/>
        <v/>
      </c>
      <c r="Q21" s="90" t="e">
        <f t="shared" si="9"/>
        <v>#DIV/0!</v>
      </c>
      <c r="R21" s="90" t="str">
        <f t="shared" ca="1" si="2"/>
        <v/>
      </c>
      <c r="S21" s="91" t="str">
        <f t="shared" ca="1" si="3"/>
        <v/>
      </c>
      <c r="T21" s="90" t="e">
        <f t="shared" si="10"/>
        <v>#DIV/0!</v>
      </c>
      <c r="U21" s="90" t="str">
        <f t="shared" ca="1" si="4"/>
        <v/>
      </c>
      <c r="V21" s="91" t="str">
        <f t="shared" ca="1" si="5"/>
        <v/>
      </c>
      <c r="W21" s="90" t="e">
        <f t="shared" si="11"/>
        <v>#DIV/0!</v>
      </c>
      <c r="X21" s="90" t="str">
        <f t="shared" ca="1" si="6"/>
        <v/>
      </c>
      <c r="Y21" s="91" t="str">
        <f t="shared" ca="1" si="7"/>
        <v/>
      </c>
    </row>
    <row r="22" spans="1:25" ht="14.5" x14ac:dyDescent="0.35">
      <c r="A22" s="87" t="s">
        <v>107</v>
      </c>
      <c r="B22" s="95">
        <f>MAX(B11/B21,0.5%)</f>
        <v>5.0000000000000001E-3</v>
      </c>
      <c r="C22" s="81"/>
      <c r="N22" s="90" t="e">
        <f t="shared" si="8"/>
        <v>#DIV/0!</v>
      </c>
      <c r="O22" s="90" t="str">
        <f t="shared" ca="1" si="0"/>
        <v/>
      </c>
      <c r="P22" s="91" t="str">
        <f t="shared" ca="1" si="1"/>
        <v/>
      </c>
      <c r="Q22" s="90" t="e">
        <f t="shared" si="9"/>
        <v>#DIV/0!</v>
      </c>
      <c r="R22" s="90" t="str">
        <f t="shared" ca="1" si="2"/>
        <v/>
      </c>
      <c r="S22" s="91" t="str">
        <f t="shared" ca="1" si="3"/>
        <v/>
      </c>
      <c r="T22" s="90" t="e">
        <f t="shared" si="10"/>
        <v>#DIV/0!</v>
      </c>
      <c r="U22" s="90" t="str">
        <f t="shared" ca="1" si="4"/>
        <v/>
      </c>
      <c r="V22" s="91" t="str">
        <f t="shared" ca="1" si="5"/>
        <v/>
      </c>
      <c r="W22" s="90" t="e">
        <f t="shared" si="11"/>
        <v>#DIV/0!</v>
      </c>
      <c r="X22" s="90" t="str">
        <f t="shared" ca="1" si="6"/>
        <v/>
      </c>
      <c r="Y22" s="91" t="str">
        <f t="shared" ca="1" si="7"/>
        <v/>
      </c>
    </row>
    <row r="23" spans="1:25" ht="14.5" x14ac:dyDescent="0.35">
      <c r="A23" s="87" t="s">
        <v>108</v>
      </c>
      <c r="B23" s="142">
        <v>0.05</v>
      </c>
      <c r="C23" s="81" t="s">
        <v>96</v>
      </c>
      <c r="N23" s="90" t="e">
        <f t="shared" si="8"/>
        <v>#DIV/0!</v>
      </c>
      <c r="O23" s="90" t="str">
        <f t="shared" ca="1" si="0"/>
        <v/>
      </c>
      <c r="P23" s="91" t="str">
        <f t="shared" ca="1" si="1"/>
        <v/>
      </c>
      <c r="Q23" s="90" t="e">
        <f t="shared" si="9"/>
        <v>#DIV/0!</v>
      </c>
      <c r="R23" s="90" t="str">
        <f t="shared" ca="1" si="2"/>
        <v/>
      </c>
      <c r="S23" s="91" t="str">
        <f t="shared" ca="1" si="3"/>
        <v/>
      </c>
      <c r="T23" s="90" t="e">
        <f t="shared" si="10"/>
        <v>#DIV/0!</v>
      </c>
      <c r="U23" s="90" t="str">
        <f t="shared" ca="1" si="4"/>
        <v/>
      </c>
      <c r="V23" s="91" t="str">
        <f t="shared" ca="1" si="5"/>
        <v/>
      </c>
      <c r="W23" s="90" t="e">
        <f t="shared" si="11"/>
        <v>#DIV/0!</v>
      </c>
      <c r="X23" s="90" t="str">
        <f t="shared" ca="1" si="6"/>
        <v/>
      </c>
      <c r="Y23" s="91" t="str">
        <f t="shared" ca="1" si="7"/>
        <v/>
      </c>
    </row>
    <row r="24" spans="1:25" ht="14.5" x14ac:dyDescent="0.35">
      <c r="A24" s="96" t="s">
        <v>109</v>
      </c>
      <c r="B24" s="97" t="e">
        <f>IF(B22&gt;50%,ROUNDUP((INDEX(DATA2,MATCH(B23,Row_2,0),MATCH(B20,Column2,0)))/B22,0),ROUNDUP((INDEX(DATA1,MATCH(B23,Row_1,0),MATCH(B20,column1,0)))/B22,0))</f>
        <v>#DIV/0!</v>
      </c>
      <c r="C24" s="74" t="s">
        <v>110</v>
      </c>
      <c r="N24" s="90" t="e">
        <f t="shared" si="8"/>
        <v>#DIV/0!</v>
      </c>
      <c r="O24" s="90" t="str">
        <f t="shared" ca="1" si="0"/>
        <v/>
      </c>
      <c r="P24" s="91" t="str">
        <f t="shared" ca="1" si="1"/>
        <v/>
      </c>
      <c r="Q24" s="90" t="e">
        <f t="shared" si="9"/>
        <v>#DIV/0!</v>
      </c>
      <c r="R24" s="90" t="str">
        <f t="shared" ca="1" si="2"/>
        <v/>
      </c>
      <c r="S24" s="91" t="str">
        <f t="shared" ca="1" si="3"/>
        <v/>
      </c>
      <c r="T24" s="90" t="e">
        <f t="shared" si="10"/>
        <v>#DIV/0!</v>
      </c>
      <c r="U24" s="90" t="str">
        <f t="shared" ca="1" si="4"/>
        <v/>
      </c>
      <c r="V24" s="91" t="str">
        <f t="shared" ca="1" si="5"/>
        <v/>
      </c>
      <c r="W24" s="90" t="e">
        <f t="shared" si="11"/>
        <v>#DIV/0!</v>
      </c>
      <c r="X24" s="90" t="str">
        <f t="shared" ca="1" si="6"/>
        <v/>
      </c>
      <c r="Y24" s="91" t="str">
        <f t="shared" ca="1" si="7"/>
        <v/>
      </c>
    </row>
    <row r="25" spans="1:25" ht="14.5" x14ac:dyDescent="0.35">
      <c r="N25" s="90" t="e">
        <f t="shared" si="8"/>
        <v>#DIV/0!</v>
      </c>
      <c r="O25" s="90" t="str">
        <f t="shared" ca="1" si="0"/>
        <v/>
      </c>
      <c r="P25" s="91" t="str">
        <f t="shared" ca="1" si="1"/>
        <v/>
      </c>
      <c r="Q25" s="90" t="e">
        <f t="shared" si="9"/>
        <v>#DIV/0!</v>
      </c>
      <c r="R25" s="90" t="str">
        <f t="shared" ca="1" si="2"/>
        <v/>
      </c>
      <c r="S25" s="91" t="str">
        <f t="shared" ca="1" si="3"/>
        <v/>
      </c>
      <c r="T25" s="90" t="e">
        <f t="shared" si="10"/>
        <v>#DIV/0!</v>
      </c>
      <c r="U25" s="90" t="str">
        <f t="shared" ca="1" si="4"/>
        <v/>
      </c>
      <c r="V25" s="91" t="str">
        <f t="shared" ca="1" si="5"/>
        <v/>
      </c>
      <c r="W25" s="90" t="e">
        <f t="shared" si="11"/>
        <v>#DIV/0!</v>
      </c>
      <c r="X25" s="90" t="str">
        <f t="shared" ca="1" si="6"/>
        <v/>
      </c>
      <c r="Y25" s="91" t="str">
        <f t="shared" ca="1" si="7"/>
        <v/>
      </c>
    </row>
    <row r="26" spans="1:25" ht="14.5" x14ac:dyDescent="0.35">
      <c r="A26" s="98" t="s">
        <v>111</v>
      </c>
      <c r="N26" s="90" t="e">
        <f t="shared" si="8"/>
        <v>#DIV/0!</v>
      </c>
      <c r="O26" s="90" t="str">
        <f t="shared" ca="1" si="0"/>
        <v/>
      </c>
      <c r="P26" s="91" t="str">
        <f t="shared" ca="1" si="1"/>
        <v/>
      </c>
      <c r="Q26" s="90" t="e">
        <f t="shared" si="9"/>
        <v>#DIV/0!</v>
      </c>
      <c r="R26" s="90" t="str">
        <f t="shared" ca="1" si="2"/>
        <v/>
      </c>
      <c r="S26" s="91" t="str">
        <f t="shared" ca="1" si="3"/>
        <v/>
      </c>
      <c r="T26" s="90" t="e">
        <f t="shared" si="10"/>
        <v>#DIV/0!</v>
      </c>
      <c r="U26" s="90" t="str">
        <f t="shared" ca="1" si="4"/>
        <v/>
      </c>
      <c r="V26" s="91" t="str">
        <f t="shared" ca="1" si="5"/>
        <v/>
      </c>
      <c r="W26" s="90" t="e">
        <f t="shared" si="11"/>
        <v>#DIV/0!</v>
      </c>
      <c r="X26" s="90" t="str">
        <f t="shared" ca="1" si="6"/>
        <v/>
      </c>
      <c r="Y26" s="91" t="str">
        <f t="shared" ca="1" si="7"/>
        <v/>
      </c>
    </row>
    <row r="27" spans="1:25" ht="14.5" x14ac:dyDescent="0.35">
      <c r="A27" s="60" t="s">
        <v>112</v>
      </c>
      <c r="N27" s="90" t="e">
        <f t="shared" si="8"/>
        <v>#DIV/0!</v>
      </c>
      <c r="O27" s="90" t="str">
        <f t="shared" ca="1" si="0"/>
        <v/>
      </c>
      <c r="P27" s="91" t="str">
        <f t="shared" ca="1" si="1"/>
        <v/>
      </c>
      <c r="Q27" s="90" t="e">
        <f t="shared" si="9"/>
        <v>#DIV/0!</v>
      </c>
      <c r="R27" s="90" t="str">
        <f t="shared" ca="1" si="2"/>
        <v/>
      </c>
      <c r="S27" s="91" t="str">
        <f t="shared" ca="1" si="3"/>
        <v/>
      </c>
      <c r="T27" s="90" t="e">
        <f t="shared" si="10"/>
        <v>#DIV/0!</v>
      </c>
      <c r="U27" s="90" t="str">
        <f t="shared" ca="1" si="4"/>
        <v/>
      </c>
      <c r="V27" s="91" t="str">
        <f t="shared" ca="1" si="5"/>
        <v/>
      </c>
      <c r="W27" s="90" t="e">
        <f t="shared" si="11"/>
        <v>#DIV/0!</v>
      </c>
      <c r="X27" s="90" t="str">
        <f t="shared" ca="1" si="6"/>
        <v/>
      </c>
      <c r="Y27" s="91" t="str">
        <f t="shared" ca="1" si="7"/>
        <v/>
      </c>
    </row>
    <row r="28" spans="1:25" ht="14.5" x14ac:dyDescent="0.35">
      <c r="A28" s="99" t="s">
        <v>113</v>
      </c>
      <c r="N28" s="90" t="e">
        <f t="shared" si="8"/>
        <v>#DIV/0!</v>
      </c>
      <c r="O28" s="90" t="str">
        <f t="shared" ca="1" si="0"/>
        <v/>
      </c>
      <c r="P28" s="91" t="str">
        <f t="shared" ca="1" si="1"/>
        <v/>
      </c>
      <c r="Q28" s="90" t="e">
        <f t="shared" si="9"/>
        <v>#DIV/0!</v>
      </c>
      <c r="R28" s="90" t="str">
        <f t="shared" ca="1" si="2"/>
        <v/>
      </c>
      <c r="S28" s="91" t="str">
        <f t="shared" ca="1" si="3"/>
        <v/>
      </c>
      <c r="T28" s="90" t="e">
        <f t="shared" si="10"/>
        <v>#DIV/0!</v>
      </c>
      <c r="U28" s="90" t="str">
        <f t="shared" ca="1" si="4"/>
        <v/>
      </c>
      <c r="V28" s="91" t="str">
        <f t="shared" ca="1" si="5"/>
        <v/>
      </c>
      <c r="W28" s="90" t="e">
        <f t="shared" si="11"/>
        <v>#DIV/0!</v>
      </c>
      <c r="X28" s="90" t="str">
        <f t="shared" ca="1" si="6"/>
        <v/>
      </c>
      <c r="Y28" s="91" t="str">
        <f t="shared" ca="1" si="7"/>
        <v/>
      </c>
    </row>
    <row r="29" spans="1:25" ht="14.5" x14ac:dyDescent="0.35">
      <c r="A29" s="99" t="s">
        <v>114</v>
      </c>
      <c r="N29" s="90" t="e">
        <f t="shared" si="8"/>
        <v>#DIV/0!</v>
      </c>
      <c r="O29" s="90" t="str">
        <f t="shared" ca="1" si="0"/>
        <v/>
      </c>
      <c r="P29" s="91" t="str">
        <f t="shared" ca="1" si="1"/>
        <v/>
      </c>
      <c r="Q29" s="90" t="e">
        <f t="shared" si="9"/>
        <v>#DIV/0!</v>
      </c>
      <c r="R29" s="90" t="str">
        <f t="shared" ca="1" si="2"/>
        <v/>
      </c>
      <c r="S29" s="91" t="str">
        <f t="shared" ca="1" si="3"/>
        <v/>
      </c>
      <c r="T29" s="90" t="e">
        <f t="shared" si="10"/>
        <v>#DIV/0!</v>
      </c>
      <c r="U29" s="90" t="str">
        <f t="shared" ca="1" si="4"/>
        <v/>
      </c>
      <c r="V29" s="91" t="str">
        <f t="shared" ca="1" si="5"/>
        <v/>
      </c>
      <c r="W29" s="90" t="e">
        <f t="shared" si="11"/>
        <v>#DIV/0!</v>
      </c>
      <c r="X29" s="90" t="str">
        <f t="shared" ca="1" si="6"/>
        <v/>
      </c>
      <c r="Y29" s="91" t="str">
        <f t="shared" ca="1" si="7"/>
        <v/>
      </c>
    </row>
    <row r="30" spans="1:25" ht="14.5" x14ac:dyDescent="0.35">
      <c r="A30" s="99" t="s">
        <v>115</v>
      </c>
      <c r="N30" s="90" t="e">
        <f t="shared" si="8"/>
        <v>#DIV/0!</v>
      </c>
      <c r="O30" s="90" t="str">
        <f t="shared" ca="1" si="0"/>
        <v/>
      </c>
      <c r="P30" s="91" t="str">
        <f t="shared" ca="1" si="1"/>
        <v/>
      </c>
      <c r="Q30" s="90" t="e">
        <f t="shared" si="9"/>
        <v>#DIV/0!</v>
      </c>
      <c r="R30" s="90" t="str">
        <f t="shared" ca="1" si="2"/>
        <v/>
      </c>
      <c r="S30" s="91" t="str">
        <f t="shared" ca="1" si="3"/>
        <v/>
      </c>
      <c r="T30" s="90" t="e">
        <f t="shared" si="10"/>
        <v>#DIV/0!</v>
      </c>
      <c r="U30" s="90" t="str">
        <f t="shared" ca="1" si="4"/>
        <v/>
      </c>
      <c r="V30" s="91" t="str">
        <f t="shared" ca="1" si="5"/>
        <v/>
      </c>
      <c r="W30" s="90" t="e">
        <f t="shared" si="11"/>
        <v>#DIV/0!</v>
      </c>
      <c r="X30" s="90" t="str">
        <f t="shared" ca="1" si="6"/>
        <v/>
      </c>
      <c r="Y30" s="91" t="str">
        <f t="shared" ca="1" si="7"/>
        <v/>
      </c>
    </row>
    <row r="31" spans="1:25" ht="14.5" x14ac:dyDescent="0.35">
      <c r="A31" s="100" t="s">
        <v>116</v>
      </c>
      <c r="N31" s="90" t="e">
        <f t="shared" si="8"/>
        <v>#DIV/0!</v>
      </c>
      <c r="O31" s="90" t="str">
        <f t="shared" ca="1" si="0"/>
        <v/>
      </c>
      <c r="P31" s="91" t="str">
        <f t="shared" ca="1" si="1"/>
        <v/>
      </c>
      <c r="Q31" s="90" t="e">
        <f t="shared" si="9"/>
        <v>#DIV/0!</v>
      </c>
      <c r="R31" s="90" t="str">
        <f t="shared" ca="1" si="2"/>
        <v/>
      </c>
      <c r="S31" s="91" t="str">
        <f t="shared" ca="1" si="3"/>
        <v/>
      </c>
      <c r="T31" s="90" t="e">
        <f t="shared" si="10"/>
        <v>#DIV/0!</v>
      </c>
      <c r="U31" s="90" t="str">
        <f t="shared" ca="1" si="4"/>
        <v/>
      </c>
      <c r="V31" s="91" t="str">
        <f t="shared" ca="1" si="5"/>
        <v/>
      </c>
      <c r="W31" s="90" t="e">
        <f t="shared" si="11"/>
        <v>#DIV/0!</v>
      </c>
      <c r="X31" s="90" t="str">
        <f t="shared" ca="1" si="6"/>
        <v/>
      </c>
      <c r="Y31" s="91" t="str">
        <f t="shared" ca="1" si="7"/>
        <v/>
      </c>
    </row>
    <row r="32" spans="1:25" ht="14.5" x14ac:dyDescent="0.35">
      <c r="A32" s="100" t="s">
        <v>117</v>
      </c>
      <c r="N32" s="90" t="e">
        <f t="shared" si="8"/>
        <v>#DIV/0!</v>
      </c>
      <c r="O32" s="90" t="str">
        <f t="shared" ca="1" si="0"/>
        <v/>
      </c>
      <c r="P32" s="91" t="str">
        <f t="shared" ca="1" si="1"/>
        <v/>
      </c>
      <c r="Q32" s="90" t="e">
        <f t="shared" si="9"/>
        <v>#DIV/0!</v>
      </c>
      <c r="R32" s="90" t="str">
        <f t="shared" ca="1" si="2"/>
        <v/>
      </c>
      <c r="S32" s="91" t="str">
        <f t="shared" ca="1" si="3"/>
        <v/>
      </c>
      <c r="T32" s="90" t="e">
        <f t="shared" si="10"/>
        <v>#DIV/0!</v>
      </c>
      <c r="U32" s="90" t="str">
        <f t="shared" ca="1" si="4"/>
        <v/>
      </c>
      <c r="V32" s="91" t="str">
        <f t="shared" ca="1" si="5"/>
        <v/>
      </c>
      <c r="W32" s="90" t="e">
        <f t="shared" si="11"/>
        <v>#DIV/0!</v>
      </c>
      <c r="X32" s="90" t="str">
        <f t="shared" ca="1" si="6"/>
        <v/>
      </c>
      <c r="Y32" s="91" t="str">
        <f t="shared" ca="1" si="7"/>
        <v/>
      </c>
    </row>
    <row r="33" spans="1:25" ht="14.5" x14ac:dyDescent="0.35">
      <c r="A33" s="100" t="s">
        <v>118</v>
      </c>
      <c r="N33" s="90" t="e">
        <f t="shared" si="8"/>
        <v>#DIV/0!</v>
      </c>
      <c r="O33" s="90" t="str">
        <f t="shared" ca="1" si="0"/>
        <v/>
      </c>
      <c r="P33" s="91" t="str">
        <f t="shared" ca="1" si="1"/>
        <v/>
      </c>
      <c r="Q33" s="90" t="e">
        <f t="shared" si="9"/>
        <v>#DIV/0!</v>
      </c>
      <c r="R33" s="90" t="str">
        <f t="shared" ca="1" si="2"/>
        <v/>
      </c>
      <c r="S33" s="91" t="str">
        <f t="shared" ca="1" si="3"/>
        <v/>
      </c>
      <c r="T33" s="90" t="e">
        <f t="shared" si="10"/>
        <v>#DIV/0!</v>
      </c>
      <c r="U33" s="90" t="str">
        <f t="shared" ca="1" si="4"/>
        <v/>
      </c>
      <c r="V33" s="91" t="str">
        <f t="shared" ca="1" si="5"/>
        <v/>
      </c>
      <c r="W33" s="90" t="e">
        <f t="shared" si="11"/>
        <v>#DIV/0!</v>
      </c>
      <c r="X33" s="90" t="str">
        <f t="shared" ca="1" si="6"/>
        <v/>
      </c>
      <c r="Y33" s="91" t="str">
        <f t="shared" ca="1" si="7"/>
        <v/>
      </c>
    </row>
    <row r="34" spans="1:25" ht="14.5" x14ac:dyDescent="0.35">
      <c r="A34" s="100" t="s">
        <v>119</v>
      </c>
      <c r="N34" s="90" t="e">
        <f t="shared" si="8"/>
        <v>#DIV/0!</v>
      </c>
      <c r="O34" s="90" t="str">
        <f t="shared" ca="1" si="0"/>
        <v/>
      </c>
      <c r="P34" s="91" t="str">
        <f t="shared" ca="1" si="1"/>
        <v/>
      </c>
      <c r="Q34" s="90" t="e">
        <f t="shared" si="9"/>
        <v>#DIV/0!</v>
      </c>
      <c r="R34" s="90" t="str">
        <f t="shared" ca="1" si="2"/>
        <v/>
      </c>
      <c r="S34" s="91" t="str">
        <f t="shared" ca="1" si="3"/>
        <v/>
      </c>
      <c r="T34" s="90" t="e">
        <f t="shared" si="10"/>
        <v>#DIV/0!</v>
      </c>
      <c r="U34" s="90" t="str">
        <f t="shared" ca="1" si="4"/>
        <v/>
      </c>
      <c r="V34" s="91" t="str">
        <f t="shared" ca="1" si="5"/>
        <v/>
      </c>
      <c r="W34" s="90" t="e">
        <f t="shared" si="11"/>
        <v>#DIV/0!</v>
      </c>
      <c r="X34" s="90" t="str">
        <f t="shared" ca="1" si="6"/>
        <v/>
      </c>
      <c r="Y34" s="91" t="str">
        <f t="shared" ca="1" si="7"/>
        <v/>
      </c>
    </row>
    <row r="35" spans="1:25" ht="14.5" x14ac:dyDescent="0.35">
      <c r="A35" s="100" t="s">
        <v>120</v>
      </c>
      <c r="N35" s="90" t="e">
        <f t="shared" si="8"/>
        <v>#DIV/0!</v>
      </c>
      <c r="O35" s="90" t="str">
        <f t="shared" ca="1" si="0"/>
        <v/>
      </c>
      <c r="P35" s="91" t="str">
        <f t="shared" ca="1" si="1"/>
        <v/>
      </c>
      <c r="Q35" s="90" t="e">
        <f t="shared" si="9"/>
        <v>#DIV/0!</v>
      </c>
      <c r="R35" s="90" t="str">
        <f t="shared" ca="1" si="2"/>
        <v/>
      </c>
      <c r="S35" s="91" t="str">
        <f t="shared" ca="1" si="3"/>
        <v/>
      </c>
      <c r="T35" s="90" t="e">
        <f t="shared" si="10"/>
        <v>#DIV/0!</v>
      </c>
      <c r="U35" s="90" t="str">
        <f t="shared" ca="1" si="4"/>
        <v/>
      </c>
      <c r="V35" s="91" t="str">
        <f t="shared" ca="1" si="5"/>
        <v/>
      </c>
      <c r="W35" s="90" t="e">
        <f t="shared" si="11"/>
        <v>#DIV/0!</v>
      </c>
      <c r="X35" s="90" t="str">
        <f t="shared" ca="1" si="6"/>
        <v/>
      </c>
      <c r="Y35" s="91" t="str">
        <f t="shared" ca="1" si="7"/>
        <v/>
      </c>
    </row>
    <row r="36" spans="1:25" ht="14.5" x14ac:dyDescent="0.35">
      <c r="A36" s="100" t="s">
        <v>121</v>
      </c>
      <c r="N36" s="90" t="e">
        <f t="shared" si="8"/>
        <v>#DIV/0!</v>
      </c>
      <c r="O36" s="90" t="str">
        <f t="shared" ca="1" si="0"/>
        <v/>
      </c>
      <c r="P36" s="91" t="str">
        <f t="shared" ca="1" si="1"/>
        <v/>
      </c>
      <c r="Q36" s="90" t="e">
        <f t="shared" si="9"/>
        <v>#DIV/0!</v>
      </c>
      <c r="R36" s="90" t="str">
        <f t="shared" ca="1" si="2"/>
        <v/>
      </c>
      <c r="S36" s="91" t="str">
        <f t="shared" ca="1" si="3"/>
        <v/>
      </c>
      <c r="T36" s="90" t="e">
        <f t="shared" si="10"/>
        <v>#DIV/0!</v>
      </c>
      <c r="U36" s="90" t="str">
        <f t="shared" ca="1" si="4"/>
        <v/>
      </c>
      <c r="V36" s="91" t="str">
        <f t="shared" ca="1" si="5"/>
        <v/>
      </c>
      <c r="W36" s="90" t="e">
        <f t="shared" si="11"/>
        <v>#DIV/0!</v>
      </c>
      <c r="X36" s="90" t="str">
        <f t="shared" ca="1" si="6"/>
        <v/>
      </c>
      <c r="Y36" s="91" t="str">
        <f t="shared" ca="1" si="7"/>
        <v/>
      </c>
    </row>
    <row r="37" spans="1:25" ht="14.5" x14ac:dyDescent="0.35">
      <c r="N37" s="90" t="e">
        <f t="shared" si="8"/>
        <v>#DIV/0!</v>
      </c>
      <c r="O37" s="90" t="str">
        <f t="shared" ca="1" si="0"/>
        <v/>
      </c>
      <c r="P37" s="91" t="str">
        <f t="shared" ca="1" si="1"/>
        <v/>
      </c>
      <c r="Q37" s="90" t="e">
        <f t="shared" si="9"/>
        <v>#DIV/0!</v>
      </c>
      <c r="R37" s="90" t="str">
        <f t="shared" ca="1" si="2"/>
        <v/>
      </c>
      <c r="S37" s="91" t="str">
        <f t="shared" ca="1" si="3"/>
        <v/>
      </c>
      <c r="T37" s="90" t="e">
        <f t="shared" si="10"/>
        <v>#DIV/0!</v>
      </c>
      <c r="U37" s="90" t="str">
        <f t="shared" ca="1" si="4"/>
        <v/>
      </c>
      <c r="V37" s="91" t="str">
        <f t="shared" ca="1" si="5"/>
        <v/>
      </c>
      <c r="W37" s="90" t="e">
        <f t="shared" si="11"/>
        <v>#DIV/0!</v>
      </c>
      <c r="X37" s="90" t="str">
        <f t="shared" ca="1" si="6"/>
        <v/>
      </c>
      <c r="Y37" s="91" t="str">
        <f t="shared" ca="1" si="7"/>
        <v/>
      </c>
    </row>
    <row r="38" spans="1:25" ht="14.5" x14ac:dyDescent="0.35">
      <c r="A38" s="60" t="s">
        <v>122</v>
      </c>
      <c r="N38" s="90" t="e">
        <f t="shared" si="8"/>
        <v>#DIV/0!</v>
      </c>
      <c r="O38" s="90" t="str">
        <f t="shared" ca="1" si="0"/>
        <v/>
      </c>
      <c r="P38" s="91" t="str">
        <f t="shared" ca="1" si="1"/>
        <v/>
      </c>
      <c r="Q38" s="90" t="e">
        <f t="shared" si="9"/>
        <v>#DIV/0!</v>
      </c>
      <c r="R38" s="90" t="str">
        <f t="shared" ca="1" si="2"/>
        <v/>
      </c>
      <c r="S38" s="91" t="str">
        <f t="shared" ca="1" si="3"/>
        <v/>
      </c>
      <c r="T38" s="90" t="e">
        <f t="shared" si="10"/>
        <v>#DIV/0!</v>
      </c>
      <c r="U38" s="90" t="str">
        <f t="shared" ca="1" si="4"/>
        <v/>
      </c>
      <c r="V38" s="91" t="str">
        <f t="shared" ca="1" si="5"/>
        <v/>
      </c>
      <c r="W38" s="90" t="e">
        <f t="shared" si="11"/>
        <v>#DIV/0!</v>
      </c>
      <c r="X38" s="90" t="str">
        <f t="shared" ca="1" si="6"/>
        <v/>
      </c>
      <c r="Y38" s="91" t="str">
        <f t="shared" ca="1" si="7"/>
        <v/>
      </c>
    </row>
    <row r="39" spans="1:25" ht="14.5" x14ac:dyDescent="0.35">
      <c r="A39" s="99" t="s">
        <v>123</v>
      </c>
      <c r="N39" s="90" t="e">
        <f t="shared" si="8"/>
        <v>#DIV/0!</v>
      </c>
      <c r="O39" s="90" t="str">
        <f t="shared" ca="1" si="0"/>
        <v/>
      </c>
      <c r="P39" s="91" t="str">
        <f t="shared" ca="1" si="1"/>
        <v/>
      </c>
      <c r="Q39" s="90" t="e">
        <f t="shared" si="9"/>
        <v>#DIV/0!</v>
      </c>
      <c r="R39" s="90" t="str">
        <f t="shared" ca="1" si="2"/>
        <v/>
      </c>
      <c r="S39" s="91" t="str">
        <f t="shared" ca="1" si="3"/>
        <v/>
      </c>
      <c r="T39" s="90" t="e">
        <f t="shared" si="10"/>
        <v>#DIV/0!</v>
      </c>
      <c r="U39" s="90" t="str">
        <f t="shared" ca="1" si="4"/>
        <v/>
      </c>
      <c r="V39" s="91" t="str">
        <f t="shared" ca="1" si="5"/>
        <v/>
      </c>
      <c r="W39" s="90" t="e">
        <f t="shared" si="11"/>
        <v>#DIV/0!</v>
      </c>
      <c r="X39" s="90" t="str">
        <f t="shared" ca="1" si="6"/>
        <v/>
      </c>
      <c r="Y39" s="91" t="str">
        <f t="shared" ca="1" si="7"/>
        <v/>
      </c>
    </row>
    <row r="40" spans="1:25" ht="14.5" x14ac:dyDescent="0.35">
      <c r="A40" s="99" t="s">
        <v>124</v>
      </c>
      <c r="N40" s="90" t="e">
        <f t="shared" si="8"/>
        <v>#DIV/0!</v>
      </c>
      <c r="O40" s="90" t="str">
        <f t="shared" ca="1" si="0"/>
        <v/>
      </c>
      <c r="P40" s="91" t="str">
        <f t="shared" ca="1" si="1"/>
        <v/>
      </c>
      <c r="Q40" s="90" t="e">
        <f t="shared" si="9"/>
        <v>#DIV/0!</v>
      </c>
      <c r="R40" s="90" t="str">
        <f t="shared" ca="1" si="2"/>
        <v/>
      </c>
      <c r="S40" s="91" t="str">
        <f t="shared" ca="1" si="3"/>
        <v/>
      </c>
      <c r="T40" s="90" t="e">
        <f t="shared" si="10"/>
        <v>#DIV/0!</v>
      </c>
      <c r="U40" s="90" t="str">
        <f t="shared" ca="1" si="4"/>
        <v/>
      </c>
      <c r="V40" s="91" t="str">
        <f t="shared" ca="1" si="5"/>
        <v/>
      </c>
      <c r="W40" s="90" t="e">
        <f t="shared" si="11"/>
        <v>#DIV/0!</v>
      </c>
      <c r="X40" s="90" t="str">
        <f t="shared" ca="1" si="6"/>
        <v/>
      </c>
      <c r="Y40" s="91" t="str">
        <f t="shared" ca="1" si="7"/>
        <v/>
      </c>
    </row>
    <row r="41" spans="1:25" ht="14.5" x14ac:dyDescent="0.35">
      <c r="A41" s="99" t="s">
        <v>125</v>
      </c>
      <c r="N41" s="90" t="e">
        <f t="shared" si="8"/>
        <v>#DIV/0!</v>
      </c>
      <c r="O41" s="90" t="str">
        <f t="shared" ca="1" si="0"/>
        <v/>
      </c>
      <c r="P41" s="91" t="str">
        <f t="shared" ca="1" si="1"/>
        <v/>
      </c>
      <c r="Q41" s="90" t="e">
        <f t="shared" si="9"/>
        <v>#DIV/0!</v>
      </c>
      <c r="R41" s="90" t="str">
        <f t="shared" ca="1" si="2"/>
        <v/>
      </c>
      <c r="S41" s="91" t="str">
        <f t="shared" ca="1" si="3"/>
        <v/>
      </c>
      <c r="T41" s="90" t="e">
        <f t="shared" si="10"/>
        <v>#DIV/0!</v>
      </c>
      <c r="U41" s="90" t="str">
        <f t="shared" ca="1" si="4"/>
        <v/>
      </c>
      <c r="V41" s="91" t="str">
        <f t="shared" ca="1" si="5"/>
        <v/>
      </c>
      <c r="W41" s="90" t="e">
        <f t="shared" si="11"/>
        <v>#DIV/0!</v>
      </c>
      <c r="X41" s="90" t="str">
        <f t="shared" ca="1" si="6"/>
        <v/>
      </c>
      <c r="Y41" s="91" t="str">
        <f t="shared" ca="1" si="7"/>
        <v/>
      </c>
    </row>
    <row r="42" spans="1:25" ht="14.5" x14ac:dyDescent="0.35">
      <c r="N42" s="90" t="e">
        <f t="shared" si="8"/>
        <v>#DIV/0!</v>
      </c>
      <c r="O42" s="90" t="str">
        <f t="shared" ca="1" si="0"/>
        <v/>
      </c>
      <c r="P42" s="91" t="str">
        <f t="shared" ca="1" si="1"/>
        <v/>
      </c>
      <c r="Q42" s="90" t="e">
        <f t="shared" si="9"/>
        <v>#DIV/0!</v>
      </c>
      <c r="R42" s="90" t="str">
        <f t="shared" ca="1" si="2"/>
        <v/>
      </c>
      <c r="S42" s="91" t="str">
        <f t="shared" ca="1" si="3"/>
        <v/>
      </c>
      <c r="T42" s="90" t="e">
        <f t="shared" si="10"/>
        <v>#DIV/0!</v>
      </c>
      <c r="U42" s="90" t="str">
        <f t="shared" ca="1" si="4"/>
        <v/>
      </c>
      <c r="V42" s="91" t="str">
        <f t="shared" ca="1" si="5"/>
        <v/>
      </c>
      <c r="W42" s="90" t="e">
        <f t="shared" si="11"/>
        <v>#DIV/0!</v>
      </c>
      <c r="X42" s="90" t="str">
        <f t="shared" ca="1" si="6"/>
        <v/>
      </c>
      <c r="Y42" s="91" t="str">
        <f t="shared" ca="1" si="7"/>
        <v/>
      </c>
    </row>
    <row r="43" spans="1:25" ht="15" thickBot="1" x14ac:dyDescent="0.4">
      <c r="N43" s="90" t="e">
        <f t="shared" si="8"/>
        <v>#DIV/0!</v>
      </c>
      <c r="O43" s="90" t="str">
        <f t="shared" ca="1" si="0"/>
        <v/>
      </c>
      <c r="P43" s="91" t="str">
        <f t="shared" ca="1" si="1"/>
        <v/>
      </c>
      <c r="Q43" s="90" t="e">
        <f t="shared" si="9"/>
        <v>#DIV/0!</v>
      </c>
      <c r="R43" s="90" t="str">
        <f t="shared" ca="1" si="2"/>
        <v/>
      </c>
      <c r="S43" s="91" t="str">
        <f t="shared" ca="1" si="3"/>
        <v/>
      </c>
      <c r="T43" s="90" t="e">
        <f t="shared" si="10"/>
        <v>#DIV/0!</v>
      </c>
      <c r="U43" s="90" t="str">
        <f t="shared" ca="1" si="4"/>
        <v/>
      </c>
      <c r="V43" s="91" t="str">
        <f t="shared" ca="1" si="5"/>
        <v/>
      </c>
      <c r="W43" s="90" t="e">
        <f t="shared" si="11"/>
        <v>#DIV/0!</v>
      </c>
      <c r="X43" s="90" t="str">
        <f t="shared" ca="1" si="6"/>
        <v/>
      </c>
      <c r="Y43" s="91" t="str">
        <f t="shared" ca="1" si="7"/>
        <v/>
      </c>
    </row>
    <row r="44" spans="1:25" ht="15" thickBot="1" x14ac:dyDescent="0.4">
      <c r="A44" s="101" t="s">
        <v>126</v>
      </c>
      <c r="B44" s="102" t="s">
        <v>127</v>
      </c>
      <c r="C44" s="102" t="s">
        <v>128</v>
      </c>
      <c r="D44" s="103" t="s">
        <v>129</v>
      </c>
      <c r="N44" s="90" t="e">
        <f t="shared" si="8"/>
        <v>#DIV/0!</v>
      </c>
      <c r="O44" s="90" t="str">
        <f t="shared" ca="1" si="0"/>
        <v/>
      </c>
      <c r="P44" s="91" t="str">
        <f t="shared" ca="1" si="1"/>
        <v/>
      </c>
      <c r="Q44" s="90" t="e">
        <f t="shared" si="9"/>
        <v>#DIV/0!</v>
      </c>
      <c r="R44" s="90" t="str">
        <f t="shared" ca="1" si="2"/>
        <v/>
      </c>
      <c r="S44" s="91" t="str">
        <f t="shared" ca="1" si="3"/>
        <v/>
      </c>
      <c r="T44" s="90" t="e">
        <f t="shared" si="10"/>
        <v>#DIV/0!</v>
      </c>
      <c r="U44" s="90" t="str">
        <f t="shared" ca="1" si="4"/>
        <v/>
      </c>
      <c r="V44" s="91" t="str">
        <f t="shared" ca="1" si="5"/>
        <v/>
      </c>
      <c r="W44" s="90" t="e">
        <f t="shared" si="11"/>
        <v>#DIV/0!</v>
      </c>
      <c r="X44" s="90" t="str">
        <f t="shared" ca="1" si="6"/>
        <v/>
      </c>
      <c r="Y44" s="91" t="str">
        <f t="shared" ca="1" si="7"/>
        <v/>
      </c>
    </row>
    <row r="45" spans="1:25" ht="14.5" x14ac:dyDescent="0.35">
      <c r="A45" s="104" t="s">
        <v>24</v>
      </c>
      <c r="B45" s="105" t="s">
        <v>24</v>
      </c>
      <c r="C45" s="105" t="s">
        <v>24</v>
      </c>
      <c r="D45" s="106" t="s">
        <v>130</v>
      </c>
      <c r="N45" s="90" t="e">
        <f t="shared" si="8"/>
        <v>#DIV/0!</v>
      </c>
      <c r="O45" s="90" t="str">
        <f t="shared" ca="1" si="0"/>
        <v/>
      </c>
      <c r="P45" s="91" t="str">
        <f t="shared" ca="1" si="1"/>
        <v/>
      </c>
      <c r="Q45" s="90" t="e">
        <f t="shared" si="9"/>
        <v>#DIV/0!</v>
      </c>
      <c r="R45" s="90" t="str">
        <f t="shared" ca="1" si="2"/>
        <v/>
      </c>
      <c r="S45" s="91" t="str">
        <f t="shared" ca="1" si="3"/>
        <v/>
      </c>
      <c r="T45" s="90" t="e">
        <f t="shared" si="10"/>
        <v>#DIV/0!</v>
      </c>
      <c r="U45" s="90" t="str">
        <f t="shared" ca="1" si="4"/>
        <v/>
      </c>
      <c r="V45" s="91" t="str">
        <f t="shared" ca="1" si="5"/>
        <v/>
      </c>
      <c r="W45" s="90" t="e">
        <f t="shared" si="11"/>
        <v>#DIV/0!</v>
      </c>
      <c r="X45" s="90" t="str">
        <f t="shared" ca="1" si="6"/>
        <v/>
      </c>
      <c r="Y45" s="91" t="str">
        <f t="shared" ca="1" si="7"/>
        <v/>
      </c>
    </row>
    <row r="46" spans="1:25" ht="14.5" x14ac:dyDescent="0.35">
      <c r="A46" s="107" t="s">
        <v>24</v>
      </c>
      <c r="B46" s="108" t="s">
        <v>11</v>
      </c>
      <c r="C46" s="108" t="s">
        <v>24</v>
      </c>
      <c r="D46" s="109" t="s">
        <v>130</v>
      </c>
      <c r="N46" s="90" t="e">
        <f t="shared" si="8"/>
        <v>#DIV/0!</v>
      </c>
      <c r="O46" s="90" t="str">
        <f t="shared" ca="1" si="0"/>
        <v/>
      </c>
      <c r="P46" s="91" t="str">
        <f t="shared" ca="1" si="1"/>
        <v/>
      </c>
      <c r="Q46" s="90" t="e">
        <f t="shared" si="9"/>
        <v>#DIV/0!</v>
      </c>
      <c r="R46" s="90" t="str">
        <f t="shared" ca="1" si="2"/>
        <v/>
      </c>
      <c r="S46" s="91" t="str">
        <f t="shared" ca="1" si="3"/>
        <v/>
      </c>
      <c r="T46" s="90" t="e">
        <f t="shared" si="10"/>
        <v>#DIV/0!</v>
      </c>
      <c r="U46" s="90" t="str">
        <f t="shared" ca="1" si="4"/>
        <v/>
      </c>
      <c r="V46" s="91" t="str">
        <f t="shared" ca="1" si="5"/>
        <v/>
      </c>
      <c r="W46" s="90" t="e">
        <f t="shared" si="11"/>
        <v>#DIV/0!</v>
      </c>
      <c r="X46" s="90" t="str">
        <f t="shared" ca="1" si="6"/>
        <v/>
      </c>
      <c r="Y46" s="91" t="str">
        <f t="shared" ca="1" si="7"/>
        <v/>
      </c>
    </row>
    <row r="47" spans="1:25" ht="14.5" x14ac:dyDescent="0.35">
      <c r="A47" s="107" t="s">
        <v>24</v>
      </c>
      <c r="B47" s="108" t="s">
        <v>13</v>
      </c>
      <c r="C47" s="108" t="s">
        <v>11</v>
      </c>
      <c r="D47" s="109" t="s">
        <v>131</v>
      </c>
      <c r="N47" s="90" t="e">
        <f t="shared" si="8"/>
        <v>#DIV/0!</v>
      </c>
      <c r="O47" s="90" t="str">
        <f t="shared" ca="1" si="0"/>
        <v/>
      </c>
      <c r="P47" s="91" t="str">
        <f t="shared" ca="1" si="1"/>
        <v/>
      </c>
      <c r="Q47" s="90" t="e">
        <f t="shared" si="9"/>
        <v>#DIV/0!</v>
      </c>
      <c r="R47" s="90" t="str">
        <f t="shared" ca="1" si="2"/>
        <v/>
      </c>
      <c r="S47" s="91" t="str">
        <f t="shared" ca="1" si="3"/>
        <v/>
      </c>
      <c r="T47" s="90" t="e">
        <f t="shared" si="10"/>
        <v>#DIV/0!</v>
      </c>
      <c r="U47" s="90" t="str">
        <f t="shared" ca="1" si="4"/>
        <v/>
      </c>
      <c r="V47" s="91" t="str">
        <f t="shared" ca="1" si="5"/>
        <v/>
      </c>
      <c r="W47" s="90" t="e">
        <f t="shared" si="11"/>
        <v>#DIV/0!</v>
      </c>
      <c r="X47" s="90" t="str">
        <f t="shared" ca="1" si="6"/>
        <v/>
      </c>
      <c r="Y47" s="91" t="str">
        <f t="shared" ca="1" si="7"/>
        <v/>
      </c>
    </row>
    <row r="48" spans="1:25" ht="14.5" x14ac:dyDescent="0.35">
      <c r="A48" s="107" t="s">
        <v>11</v>
      </c>
      <c r="B48" s="108" t="s">
        <v>24</v>
      </c>
      <c r="C48" s="108" t="s">
        <v>11</v>
      </c>
      <c r="D48" s="109" t="s">
        <v>131</v>
      </c>
      <c r="N48" s="90" t="e">
        <f t="shared" si="8"/>
        <v>#DIV/0!</v>
      </c>
      <c r="O48" s="90" t="str">
        <f t="shared" ca="1" si="0"/>
        <v/>
      </c>
      <c r="P48" s="91" t="str">
        <f t="shared" ca="1" si="1"/>
        <v/>
      </c>
      <c r="Q48" s="90" t="e">
        <f t="shared" si="9"/>
        <v>#DIV/0!</v>
      </c>
      <c r="R48" s="90" t="str">
        <f t="shared" ca="1" si="2"/>
        <v/>
      </c>
      <c r="S48" s="91" t="str">
        <f t="shared" ca="1" si="3"/>
        <v/>
      </c>
      <c r="T48" s="90" t="e">
        <f t="shared" si="10"/>
        <v>#DIV/0!</v>
      </c>
      <c r="U48" s="90" t="str">
        <f t="shared" ca="1" si="4"/>
        <v/>
      </c>
      <c r="V48" s="91" t="str">
        <f t="shared" ca="1" si="5"/>
        <v/>
      </c>
      <c r="W48" s="90" t="e">
        <f t="shared" si="11"/>
        <v>#DIV/0!</v>
      </c>
      <c r="X48" s="90" t="str">
        <f t="shared" ca="1" si="6"/>
        <v/>
      </c>
      <c r="Y48" s="91" t="str">
        <f t="shared" ca="1" si="7"/>
        <v/>
      </c>
    </row>
    <row r="49" spans="1:25" ht="14.5" x14ac:dyDescent="0.35">
      <c r="A49" s="107" t="s">
        <v>11</v>
      </c>
      <c r="B49" s="108" t="s">
        <v>11</v>
      </c>
      <c r="C49" s="108" t="s">
        <v>11</v>
      </c>
      <c r="D49" s="109" t="s">
        <v>131</v>
      </c>
      <c r="N49" s="90" t="e">
        <f t="shared" si="8"/>
        <v>#DIV/0!</v>
      </c>
      <c r="O49" s="90" t="str">
        <f t="shared" ca="1" si="0"/>
        <v/>
      </c>
      <c r="P49" s="91" t="str">
        <f t="shared" ca="1" si="1"/>
        <v/>
      </c>
      <c r="Q49" s="90" t="e">
        <f t="shared" si="9"/>
        <v>#DIV/0!</v>
      </c>
      <c r="R49" s="90" t="str">
        <f t="shared" ca="1" si="2"/>
        <v/>
      </c>
      <c r="S49" s="91" t="str">
        <f t="shared" ca="1" si="3"/>
        <v/>
      </c>
      <c r="T49" s="90" t="e">
        <f t="shared" si="10"/>
        <v>#DIV/0!</v>
      </c>
      <c r="U49" s="90" t="str">
        <f t="shared" ca="1" si="4"/>
        <v/>
      </c>
      <c r="V49" s="91" t="str">
        <f t="shared" ca="1" si="5"/>
        <v/>
      </c>
      <c r="W49" s="90" t="e">
        <f t="shared" si="11"/>
        <v>#DIV/0!</v>
      </c>
      <c r="X49" s="90" t="str">
        <f t="shared" ca="1" si="6"/>
        <v/>
      </c>
      <c r="Y49" s="91" t="str">
        <f t="shared" ca="1" si="7"/>
        <v/>
      </c>
    </row>
    <row r="50" spans="1:25" ht="14.5" x14ac:dyDescent="0.35">
      <c r="A50" s="107" t="s">
        <v>11</v>
      </c>
      <c r="B50" s="108" t="s">
        <v>13</v>
      </c>
      <c r="C50" s="108" t="s">
        <v>13</v>
      </c>
      <c r="D50" s="109" t="s">
        <v>132</v>
      </c>
      <c r="N50" s="90" t="e">
        <f t="shared" si="8"/>
        <v>#DIV/0!</v>
      </c>
      <c r="O50" s="90" t="str">
        <f t="shared" ca="1" si="0"/>
        <v/>
      </c>
      <c r="P50" s="91" t="str">
        <f t="shared" ca="1" si="1"/>
        <v/>
      </c>
      <c r="Q50" s="90" t="e">
        <f t="shared" si="9"/>
        <v>#DIV/0!</v>
      </c>
      <c r="R50" s="90" t="str">
        <f t="shared" ca="1" si="2"/>
        <v/>
      </c>
      <c r="S50" s="91" t="str">
        <f t="shared" ca="1" si="3"/>
        <v/>
      </c>
      <c r="T50" s="90" t="e">
        <f t="shared" si="10"/>
        <v>#DIV/0!</v>
      </c>
      <c r="U50" s="90" t="str">
        <f t="shared" ca="1" si="4"/>
        <v/>
      </c>
      <c r="V50" s="91" t="str">
        <f t="shared" ca="1" si="5"/>
        <v/>
      </c>
      <c r="W50" s="90" t="e">
        <f t="shared" si="11"/>
        <v>#DIV/0!</v>
      </c>
      <c r="X50" s="90" t="str">
        <f t="shared" ca="1" si="6"/>
        <v/>
      </c>
      <c r="Y50" s="91" t="str">
        <f t="shared" ca="1" si="7"/>
        <v/>
      </c>
    </row>
    <row r="51" spans="1:25" ht="14.5" x14ac:dyDescent="0.35">
      <c r="A51" s="107" t="s">
        <v>13</v>
      </c>
      <c r="B51" s="108" t="s">
        <v>24</v>
      </c>
      <c r="C51" s="108" t="s">
        <v>11</v>
      </c>
      <c r="D51" s="109" t="s">
        <v>131</v>
      </c>
      <c r="N51" s="90" t="e">
        <f t="shared" si="8"/>
        <v>#DIV/0!</v>
      </c>
      <c r="O51" s="90" t="str">
        <f t="shared" ca="1" si="0"/>
        <v/>
      </c>
      <c r="P51" s="91" t="str">
        <f t="shared" ca="1" si="1"/>
        <v/>
      </c>
      <c r="Q51" s="90" t="e">
        <f t="shared" si="9"/>
        <v>#DIV/0!</v>
      </c>
      <c r="R51" s="90" t="str">
        <f t="shared" ca="1" si="2"/>
        <v/>
      </c>
      <c r="S51" s="91" t="str">
        <f t="shared" ca="1" si="3"/>
        <v/>
      </c>
      <c r="T51" s="90" t="e">
        <f t="shared" si="10"/>
        <v>#DIV/0!</v>
      </c>
      <c r="U51" s="90" t="str">
        <f t="shared" ca="1" si="4"/>
        <v/>
      </c>
      <c r="V51" s="91" t="str">
        <f t="shared" ca="1" si="5"/>
        <v/>
      </c>
      <c r="W51" s="90" t="e">
        <f t="shared" si="11"/>
        <v>#DIV/0!</v>
      </c>
      <c r="X51" s="90" t="str">
        <f t="shared" ca="1" si="6"/>
        <v/>
      </c>
      <c r="Y51" s="91" t="str">
        <f t="shared" ca="1" si="7"/>
        <v/>
      </c>
    </row>
    <row r="52" spans="1:25" ht="14.5" x14ac:dyDescent="0.35">
      <c r="A52" s="107" t="s">
        <v>13</v>
      </c>
      <c r="B52" s="108" t="s">
        <v>11</v>
      </c>
      <c r="C52" s="108" t="s">
        <v>13</v>
      </c>
      <c r="D52" s="109" t="s">
        <v>132</v>
      </c>
      <c r="N52" s="90" t="e">
        <f t="shared" si="8"/>
        <v>#DIV/0!</v>
      </c>
      <c r="O52" s="90" t="str">
        <f t="shared" ca="1" si="0"/>
        <v/>
      </c>
      <c r="P52" s="91" t="str">
        <f t="shared" ca="1" si="1"/>
        <v/>
      </c>
      <c r="Q52" s="90" t="e">
        <f t="shared" si="9"/>
        <v>#DIV/0!</v>
      </c>
      <c r="R52" s="90" t="str">
        <f t="shared" ca="1" si="2"/>
        <v/>
      </c>
      <c r="S52" s="91" t="str">
        <f t="shared" ca="1" si="3"/>
        <v/>
      </c>
      <c r="T52" s="90" t="e">
        <f t="shared" si="10"/>
        <v>#DIV/0!</v>
      </c>
      <c r="U52" s="90" t="str">
        <f t="shared" ca="1" si="4"/>
        <v/>
      </c>
      <c r="V52" s="91" t="str">
        <f t="shared" ca="1" si="5"/>
        <v/>
      </c>
      <c r="W52" s="90" t="e">
        <f t="shared" si="11"/>
        <v>#DIV/0!</v>
      </c>
      <c r="X52" s="90" t="str">
        <f t="shared" ca="1" si="6"/>
        <v/>
      </c>
      <c r="Y52" s="91" t="str">
        <f t="shared" ca="1" si="7"/>
        <v/>
      </c>
    </row>
    <row r="53" spans="1:25" ht="15" thickBot="1" x14ac:dyDescent="0.4">
      <c r="A53" s="110" t="s">
        <v>13</v>
      </c>
      <c r="B53" s="111" t="s">
        <v>13</v>
      </c>
      <c r="C53" s="111" t="s">
        <v>13</v>
      </c>
      <c r="D53" s="112" t="s">
        <v>132</v>
      </c>
      <c r="N53" s="90" t="e">
        <f t="shared" si="8"/>
        <v>#DIV/0!</v>
      </c>
      <c r="O53" s="90" t="str">
        <f t="shared" ca="1" si="0"/>
        <v/>
      </c>
      <c r="P53" s="91" t="str">
        <f t="shared" ca="1" si="1"/>
        <v/>
      </c>
      <c r="Q53" s="90" t="e">
        <f t="shared" si="9"/>
        <v>#DIV/0!</v>
      </c>
      <c r="R53" s="90" t="str">
        <f t="shared" ca="1" si="2"/>
        <v/>
      </c>
      <c r="S53" s="91" t="str">
        <f t="shared" ca="1" si="3"/>
        <v/>
      </c>
      <c r="T53" s="90" t="e">
        <f t="shared" si="10"/>
        <v>#DIV/0!</v>
      </c>
      <c r="U53" s="90" t="str">
        <f t="shared" ca="1" si="4"/>
        <v/>
      </c>
      <c r="V53" s="91" t="str">
        <f t="shared" ca="1" si="5"/>
        <v/>
      </c>
      <c r="W53" s="90" t="e">
        <f t="shared" si="11"/>
        <v>#DIV/0!</v>
      </c>
      <c r="X53" s="90" t="str">
        <f t="shared" ca="1" si="6"/>
        <v/>
      </c>
      <c r="Y53" s="91" t="str">
        <f t="shared" ca="1" si="7"/>
        <v/>
      </c>
    </row>
    <row r="54" spans="1:25" ht="14.5" x14ac:dyDescent="0.35">
      <c r="N54" s="90" t="e">
        <f t="shared" si="8"/>
        <v>#DIV/0!</v>
      </c>
      <c r="O54" s="90" t="str">
        <f t="shared" ca="1" si="0"/>
        <v/>
      </c>
      <c r="P54" s="91" t="str">
        <f t="shared" ca="1" si="1"/>
        <v/>
      </c>
      <c r="Q54" s="90" t="e">
        <f t="shared" si="9"/>
        <v>#DIV/0!</v>
      </c>
      <c r="R54" s="90" t="str">
        <f t="shared" ca="1" si="2"/>
        <v/>
      </c>
      <c r="S54" s="91" t="str">
        <f t="shared" ca="1" si="3"/>
        <v/>
      </c>
      <c r="T54" s="90" t="e">
        <f t="shared" si="10"/>
        <v>#DIV/0!</v>
      </c>
      <c r="U54" s="90" t="str">
        <f t="shared" ca="1" si="4"/>
        <v/>
      </c>
      <c r="V54" s="91" t="str">
        <f t="shared" ca="1" si="5"/>
        <v/>
      </c>
      <c r="W54" s="90" t="e">
        <f t="shared" si="11"/>
        <v>#DIV/0!</v>
      </c>
      <c r="X54" s="90" t="str">
        <f t="shared" ca="1" si="6"/>
        <v/>
      </c>
      <c r="Y54" s="91" t="str">
        <f t="shared" ca="1" si="7"/>
        <v/>
      </c>
    </row>
    <row r="55" spans="1:25" ht="15" thickBot="1" x14ac:dyDescent="0.4">
      <c r="A55" s="98" t="s">
        <v>133</v>
      </c>
      <c r="N55" s="90" t="e">
        <f t="shared" si="8"/>
        <v>#DIV/0!</v>
      </c>
      <c r="O55" s="90" t="str">
        <f t="shared" ca="1" si="0"/>
        <v/>
      </c>
      <c r="P55" s="91" t="str">
        <f t="shared" ca="1" si="1"/>
        <v/>
      </c>
      <c r="Q55" s="90" t="e">
        <f t="shared" si="9"/>
        <v>#DIV/0!</v>
      </c>
      <c r="R55" s="90" t="str">
        <f t="shared" ca="1" si="2"/>
        <v/>
      </c>
      <c r="S55" s="91" t="str">
        <f t="shared" ca="1" si="3"/>
        <v/>
      </c>
      <c r="T55" s="90" t="e">
        <f t="shared" si="10"/>
        <v>#DIV/0!</v>
      </c>
      <c r="U55" s="90" t="str">
        <f t="shared" ca="1" si="4"/>
        <v/>
      </c>
      <c r="V55" s="91" t="str">
        <f t="shared" ca="1" si="5"/>
        <v/>
      </c>
      <c r="W55" s="90" t="e">
        <f t="shared" si="11"/>
        <v>#DIV/0!</v>
      </c>
      <c r="X55" s="90" t="str">
        <f t="shared" ca="1" si="6"/>
        <v/>
      </c>
      <c r="Y55" s="91" t="str">
        <f t="shared" ca="1" si="7"/>
        <v/>
      </c>
    </row>
    <row r="56" spans="1:25" ht="15.75" customHeight="1" thickBot="1" x14ac:dyDescent="0.4">
      <c r="A56" s="113" t="s">
        <v>134</v>
      </c>
      <c r="B56" s="143" t="s">
        <v>33</v>
      </c>
      <c r="C56" s="144"/>
      <c r="D56" s="145"/>
      <c r="N56" s="90" t="e">
        <f t="shared" si="8"/>
        <v>#DIV/0!</v>
      </c>
      <c r="O56" s="90" t="str">
        <f t="shared" ca="1" si="0"/>
        <v/>
      </c>
      <c r="P56" s="91" t="str">
        <f t="shared" ca="1" si="1"/>
        <v/>
      </c>
      <c r="Q56" s="90" t="e">
        <f t="shared" si="9"/>
        <v>#DIV/0!</v>
      </c>
      <c r="R56" s="90" t="str">
        <f t="shared" ca="1" si="2"/>
        <v/>
      </c>
      <c r="S56" s="91" t="str">
        <f t="shared" ca="1" si="3"/>
        <v/>
      </c>
      <c r="T56" s="90" t="e">
        <f t="shared" si="10"/>
        <v>#DIV/0!</v>
      </c>
      <c r="U56" s="90" t="str">
        <f t="shared" ca="1" si="4"/>
        <v/>
      </c>
      <c r="V56" s="91" t="str">
        <f t="shared" ca="1" si="5"/>
        <v/>
      </c>
      <c r="W56" s="90" t="e">
        <f t="shared" si="11"/>
        <v>#DIV/0!</v>
      </c>
      <c r="X56" s="90" t="str">
        <f t="shared" ca="1" si="6"/>
        <v/>
      </c>
      <c r="Y56" s="91" t="str">
        <f t="shared" ca="1" si="7"/>
        <v/>
      </c>
    </row>
    <row r="57" spans="1:25" ht="15" thickBot="1" x14ac:dyDescent="0.4">
      <c r="A57" s="114" t="s">
        <v>135</v>
      </c>
      <c r="B57" s="115" t="s">
        <v>13</v>
      </c>
      <c r="C57" s="116" t="s">
        <v>11</v>
      </c>
      <c r="D57" s="117" t="s">
        <v>24</v>
      </c>
      <c r="N57" s="90" t="e">
        <f t="shared" si="8"/>
        <v>#DIV/0!</v>
      </c>
      <c r="O57" s="90" t="str">
        <f t="shared" ca="1" si="0"/>
        <v/>
      </c>
      <c r="P57" s="91" t="str">
        <f t="shared" ca="1" si="1"/>
        <v/>
      </c>
      <c r="Q57" s="90" t="e">
        <f t="shared" si="9"/>
        <v>#DIV/0!</v>
      </c>
      <c r="R57" s="90" t="str">
        <f t="shared" ca="1" si="2"/>
        <v/>
      </c>
      <c r="S57" s="91" t="str">
        <f t="shared" ca="1" si="3"/>
        <v/>
      </c>
      <c r="T57" s="90" t="e">
        <f t="shared" si="10"/>
        <v>#DIV/0!</v>
      </c>
      <c r="U57" s="90" t="str">
        <f t="shared" ca="1" si="4"/>
        <v/>
      </c>
      <c r="V57" s="91" t="str">
        <f t="shared" ca="1" si="5"/>
        <v/>
      </c>
      <c r="W57" s="90" t="e">
        <f t="shared" si="11"/>
        <v>#DIV/0!</v>
      </c>
      <c r="X57" s="90" t="str">
        <f t="shared" ca="1" si="6"/>
        <v/>
      </c>
      <c r="Y57" s="91" t="str">
        <f t="shared" ca="1" si="7"/>
        <v/>
      </c>
    </row>
    <row r="58" spans="1:25" ht="14.5" x14ac:dyDescent="0.35">
      <c r="A58" s="118" t="s">
        <v>24</v>
      </c>
      <c r="B58" s="119" t="s">
        <v>13</v>
      </c>
      <c r="C58" s="105" t="s">
        <v>11</v>
      </c>
      <c r="D58" s="106" t="s">
        <v>37</v>
      </c>
      <c r="N58" s="90" t="e">
        <f t="shared" si="8"/>
        <v>#DIV/0!</v>
      </c>
      <c r="O58" s="90" t="str">
        <f t="shared" ca="1" si="0"/>
        <v/>
      </c>
      <c r="P58" s="91" t="str">
        <f t="shared" ca="1" si="1"/>
        <v/>
      </c>
      <c r="Q58" s="90" t="e">
        <f t="shared" si="9"/>
        <v>#DIV/0!</v>
      </c>
      <c r="R58" s="90" t="str">
        <f t="shared" ca="1" si="2"/>
        <v/>
      </c>
      <c r="S58" s="91" t="str">
        <f t="shared" ca="1" si="3"/>
        <v/>
      </c>
      <c r="T58" s="90" t="e">
        <f t="shared" si="10"/>
        <v>#DIV/0!</v>
      </c>
      <c r="U58" s="90" t="str">
        <f t="shared" ca="1" si="4"/>
        <v/>
      </c>
      <c r="V58" s="91" t="str">
        <f t="shared" ca="1" si="5"/>
        <v/>
      </c>
      <c r="W58" s="90" t="e">
        <f t="shared" si="11"/>
        <v>#DIV/0!</v>
      </c>
      <c r="X58" s="90" t="str">
        <f t="shared" ca="1" si="6"/>
        <v/>
      </c>
      <c r="Y58" s="91" t="str">
        <f t="shared" ca="1" si="7"/>
        <v/>
      </c>
    </row>
    <row r="59" spans="1:25" ht="14.5" x14ac:dyDescent="0.35">
      <c r="A59" s="120" t="s">
        <v>11</v>
      </c>
      <c r="B59" s="121" t="s">
        <v>13</v>
      </c>
      <c r="C59" s="108" t="s">
        <v>11</v>
      </c>
      <c r="D59" s="109" t="s">
        <v>11</v>
      </c>
      <c r="N59" s="90" t="e">
        <f t="shared" si="8"/>
        <v>#DIV/0!</v>
      </c>
      <c r="O59" s="90" t="str">
        <f t="shared" ca="1" si="0"/>
        <v/>
      </c>
      <c r="P59" s="91" t="str">
        <f t="shared" ca="1" si="1"/>
        <v/>
      </c>
      <c r="Q59" s="90" t="e">
        <f t="shared" si="9"/>
        <v>#DIV/0!</v>
      </c>
      <c r="R59" s="90" t="str">
        <f t="shared" ca="1" si="2"/>
        <v/>
      </c>
      <c r="S59" s="91" t="str">
        <f t="shared" ca="1" si="3"/>
        <v/>
      </c>
      <c r="T59" s="90" t="e">
        <f t="shared" si="10"/>
        <v>#DIV/0!</v>
      </c>
      <c r="U59" s="90" t="str">
        <f t="shared" ca="1" si="4"/>
        <v/>
      </c>
      <c r="V59" s="91" t="str">
        <f t="shared" ca="1" si="5"/>
        <v/>
      </c>
      <c r="W59" s="90" t="e">
        <f t="shared" si="11"/>
        <v>#DIV/0!</v>
      </c>
      <c r="X59" s="90" t="str">
        <f t="shared" ca="1" si="6"/>
        <v/>
      </c>
      <c r="Y59" s="91" t="str">
        <f t="shared" ca="1" si="7"/>
        <v/>
      </c>
    </row>
    <row r="60" spans="1:25" ht="15" thickBot="1" x14ac:dyDescent="0.4">
      <c r="A60" s="122" t="s">
        <v>13</v>
      </c>
      <c r="B60" s="123" t="s">
        <v>13</v>
      </c>
      <c r="C60" s="111" t="s">
        <v>13</v>
      </c>
      <c r="D60" s="112" t="s">
        <v>11</v>
      </c>
      <c r="N60" s="90" t="e">
        <f t="shared" si="8"/>
        <v>#DIV/0!</v>
      </c>
      <c r="O60" s="90" t="str">
        <f t="shared" ca="1" si="0"/>
        <v/>
      </c>
      <c r="P60" s="91" t="str">
        <f t="shared" ca="1" si="1"/>
        <v/>
      </c>
      <c r="Q60" s="90" t="e">
        <f t="shared" si="9"/>
        <v>#DIV/0!</v>
      </c>
      <c r="R60" s="90" t="str">
        <f t="shared" ca="1" si="2"/>
        <v/>
      </c>
      <c r="S60" s="91" t="str">
        <f t="shared" ca="1" si="3"/>
        <v/>
      </c>
      <c r="T60" s="90" t="e">
        <f t="shared" si="10"/>
        <v>#DIV/0!</v>
      </c>
      <c r="U60" s="90" t="str">
        <f t="shared" ca="1" si="4"/>
        <v/>
      </c>
      <c r="V60" s="91" t="str">
        <f t="shared" ca="1" si="5"/>
        <v/>
      </c>
      <c r="W60" s="90" t="e">
        <f t="shared" si="11"/>
        <v>#DIV/0!</v>
      </c>
      <c r="X60" s="90" t="str">
        <f t="shared" ca="1" si="6"/>
        <v/>
      </c>
      <c r="Y60" s="91" t="str">
        <f t="shared" ca="1" si="7"/>
        <v/>
      </c>
    </row>
    <row r="61" spans="1:25" ht="14.5" x14ac:dyDescent="0.35">
      <c r="N61" s="90" t="e">
        <f t="shared" si="8"/>
        <v>#DIV/0!</v>
      </c>
      <c r="O61" s="90" t="str">
        <f t="shared" ca="1" si="0"/>
        <v/>
      </c>
      <c r="P61" s="91" t="str">
        <f t="shared" ca="1" si="1"/>
        <v/>
      </c>
      <c r="Q61" s="90" t="e">
        <f t="shared" si="9"/>
        <v>#DIV/0!</v>
      </c>
      <c r="R61" s="90" t="str">
        <f t="shared" ca="1" si="2"/>
        <v/>
      </c>
      <c r="S61" s="91" t="str">
        <f t="shared" ca="1" si="3"/>
        <v/>
      </c>
      <c r="T61" s="90" t="e">
        <f t="shared" si="10"/>
        <v>#DIV/0!</v>
      </c>
      <c r="U61" s="90" t="str">
        <f t="shared" ca="1" si="4"/>
        <v/>
      </c>
      <c r="V61" s="91" t="str">
        <f t="shared" ca="1" si="5"/>
        <v/>
      </c>
      <c r="W61" s="90" t="e">
        <f t="shared" si="11"/>
        <v>#DIV/0!</v>
      </c>
      <c r="X61" s="90" t="str">
        <f t="shared" ca="1" si="6"/>
        <v/>
      </c>
      <c r="Y61" s="91" t="str">
        <f t="shared" ca="1" si="7"/>
        <v/>
      </c>
    </row>
    <row r="62" spans="1:25" ht="14.5" x14ac:dyDescent="0.35">
      <c r="A62" s="98"/>
      <c r="N62" s="90" t="e">
        <f t="shared" si="8"/>
        <v>#DIV/0!</v>
      </c>
      <c r="O62" s="90" t="str">
        <f t="shared" ca="1" si="0"/>
        <v/>
      </c>
      <c r="P62" s="91" t="str">
        <f t="shared" ca="1" si="1"/>
        <v/>
      </c>
      <c r="Q62" s="90" t="e">
        <f t="shared" si="9"/>
        <v>#DIV/0!</v>
      </c>
      <c r="R62" s="90" t="str">
        <f t="shared" ca="1" si="2"/>
        <v/>
      </c>
      <c r="S62" s="91" t="str">
        <f t="shared" ca="1" si="3"/>
        <v/>
      </c>
      <c r="T62" s="90" t="e">
        <f t="shared" si="10"/>
        <v>#DIV/0!</v>
      </c>
      <c r="U62" s="90" t="str">
        <f t="shared" ca="1" si="4"/>
        <v/>
      </c>
      <c r="V62" s="91" t="str">
        <f t="shared" ca="1" si="5"/>
        <v/>
      </c>
      <c r="W62" s="90" t="e">
        <f t="shared" si="11"/>
        <v>#DIV/0!</v>
      </c>
      <c r="X62" s="90" t="str">
        <f t="shared" ca="1" si="6"/>
        <v/>
      </c>
      <c r="Y62" s="91" t="str">
        <f t="shared" ca="1" si="7"/>
        <v/>
      </c>
    </row>
    <row r="63" spans="1:25" ht="14.5" x14ac:dyDescent="0.35">
      <c r="B63" s="124"/>
      <c r="C63" s="81"/>
      <c r="N63" s="90" t="e">
        <f t="shared" si="8"/>
        <v>#DIV/0!</v>
      </c>
      <c r="O63" s="90" t="str">
        <f t="shared" ca="1" si="0"/>
        <v/>
      </c>
      <c r="P63" s="91" t="str">
        <f t="shared" ca="1" si="1"/>
        <v/>
      </c>
      <c r="Q63" s="90" t="e">
        <f t="shared" si="9"/>
        <v>#DIV/0!</v>
      </c>
      <c r="R63" s="90" t="str">
        <f t="shared" ca="1" si="2"/>
        <v/>
      </c>
      <c r="S63" s="91" t="str">
        <f t="shared" ca="1" si="3"/>
        <v/>
      </c>
      <c r="T63" s="90" t="e">
        <f t="shared" si="10"/>
        <v>#DIV/0!</v>
      </c>
      <c r="U63" s="90" t="str">
        <f t="shared" ca="1" si="4"/>
        <v/>
      </c>
      <c r="V63" s="91" t="str">
        <f t="shared" ca="1" si="5"/>
        <v/>
      </c>
      <c r="W63" s="90" t="e">
        <f t="shared" si="11"/>
        <v>#DIV/0!</v>
      </c>
      <c r="X63" s="90" t="str">
        <f t="shared" ca="1" si="6"/>
        <v/>
      </c>
      <c r="Y63" s="91" t="str">
        <f t="shared" ca="1" si="7"/>
        <v/>
      </c>
    </row>
    <row r="64" spans="1:25" ht="14.5" x14ac:dyDescent="0.35">
      <c r="B64" s="124"/>
      <c r="N64" s="90" t="e">
        <f t="shared" si="8"/>
        <v>#DIV/0!</v>
      </c>
      <c r="O64" s="90" t="str">
        <f t="shared" ca="1" si="0"/>
        <v/>
      </c>
      <c r="P64" s="91" t="str">
        <f t="shared" ca="1" si="1"/>
        <v/>
      </c>
      <c r="Q64" s="90" t="e">
        <f t="shared" si="9"/>
        <v>#DIV/0!</v>
      </c>
      <c r="R64" s="90" t="str">
        <f t="shared" ca="1" si="2"/>
        <v/>
      </c>
      <c r="S64" s="91" t="str">
        <f t="shared" ca="1" si="3"/>
        <v/>
      </c>
      <c r="T64" s="90" t="e">
        <f t="shared" si="10"/>
        <v>#DIV/0!</v>
      </c>
      <c r="U64" s="90" t="str">
        <f t="shared" ca="1" si="4"/>
        <v/>
      </c>
      <c r="V64" s="91" t="str">
        <f t="shared" ca="1" si="5"/>
        <v/>
      </c>
      <c r="W64" s="90" t="e">
        <f t="shared" si="11"/>
        <v>#DIV/0!</v>
      </c>
      <c r="X64" s="90" t="str">
        <f t="shared" ca="1" si="6"/>
        <v/>
      </c>
      <c r="Y64" s="91" t="str">
        <f t="shared" ca="1" si="7"/>
        <v/>
      </c>
    </row>
    <row r="65" spans="1:25" ht="14.5" x14ac:dyDescent="0.35">
      <c r="B65" s="125"/>
      <c r="N65" s="90" t="e">
        <f t="shared" si="8"/>
        <v>#DIV/0!</v>
      </c>
      <c r="O65" s="90" t="str">
        <f t="shared" ca="1" si="0"/>
        <v/>
      </c>
      <c r="P65" s="91" t="str">
        <f t="shared" ca="1" si="1"/>
        <v/>
      </c>
      <c r="Q65" s="90" t="e">
        <f t="shared" si="9"/>
        <v>#DIV/0!</v>
      </c>
      <c r="R65" s="90" t="str">
        <f t="shared" ca="1" si="2"/>
        <v/>
      </c>
      <c r="S65" s="91" t="str">
        <f t="shared" ca="1" si="3"/>
        <v/>
      </c>
      <c r="T65" s="90" t="e">
        <f t="shared" si="10"/>
        <v>#DIV/0!</v>
      </c>
      <c r="U65" s="90" t="str">
        <f t="shared" ca="1" si="4"/>
        <v/>
      </c>
      <c r="V65" s="91" t="str">
        <f t="shared" ca="1" si="5"/>
        <v/>
      </c>
      <c r="W65" s="90" t="e">
        <f t="shared" si="11"/>
        <v>#DIV/0!</v>
      </c>
      <c r="X65" s="90" t="str">
        <f t="shared" ca="1" si="6"/>
        <v/>
      </c>
      <c r="Y65" s="91" t="str">
        <f t="shared" ca="1" si="7"/>
        <v/>
      </c>
    </row>
    <row r="66" spans="1:25" ht="14.5" x14ac:dyDescent="0.35">
      <c r="N66" s="90" t="e">
        <f t="shared" si="8"/>
        <v>#DIV/0!</v>
      </c>
      <c r="O66" s="90" t="str">
        <f t="shared" ca="1" si="0"/>
        <v/>
      </c>
      <c r="P66" s="91" t="str">
        <f t="shared" ca="1" si="1"/>
        <v/>
      </c>
      <c r="Q66" s="90" t="e">
        <f t="shared" si="9"/>
        <v>#DIV/0!</v>
      </c>
      <c r="R66" s="90" t="str">
        <f t="shared" ca="1" si="2"/>
        <v/>
      </c>
      <c r="S66" s="91" t="str">
        <f t="shared" ca="1" si="3"/>
        <v/>
      </c>
      <c r="T66" s="90" t="e">
        <f t="shared" si="10"/>
        <v>#DIV/0!</v>
      </c>
      <c r="U66" s="90" t="str">
        <f t="shared" ca="1" si="4"/>
        <v/>
      </c>
      <c r="V66" s="91" t="str">
        <f t="shared" ca="1" si="5"/>
        <v/>
      </c>
      <c r="W66" s="90" t="e">
        <f t="shared" si="11"/>
        <v>#DIV/0!</v>
      </c>
      <c r="X66" s="90" t="str">
        <f t="shared" ca="1" si="6"/>
        <v/>
      </c>
      <c r="Y66" s="91" t="str">
        <f t="shared" ca="1" si="7"/>
        <v/>
      </c>
    </row>
    <row r="67" spans="1:25" ht="14.5" x14ac:dyDescent="0.35">
      <c r="A67" s="98"/>
      <c r="N67" s="90" t="e">
        <f t="shared" si="8"/>
        <v>#DIV/0!</v>
      </c>
      <c r="O67" s="90" t="str">
        <f t="shared" ca="1" si="0"/>
        <v/>
      </c>
      <c r="P67" s="91" t="str">
        <f t="shared" ca="1" si="1"/>
        <v/>
      </c>
      <c r="Q67" s="90" t="e">
        <f t="shared" si="9"/>
        <v>#DIV/0!</v>
      </c>
      <c r="R67" s="90" t="str">
        <f t="shared" ca="1" si="2"/>
        <v/>
      </c>
      <c r="S67" s="91" t="str">
        <f t="shared" ca="1" si="3"/>
        <v/>
      </c>
      <c r="T67" s="90" t="e">
        <f t="shared" si="10"/>
        <v>#DIV/0!</v>
      </c>
      <c r="U67" s="90" t="str">
        <f t="shared" ca="1" si="4"/>
        <v/>
      </c>
      <c r="V67" s="91" t="str">
        <f t="shared" ca="1" si="5"/>
        <v/>
      </c>
      <c r="W67" s="90" t="e">
        <f t="shared" si="11"/>
        <v>#DIV/0!</v>
      </c>
      <c r="X67" s="90" t="str">
        <f t="shared" ca="1" si="6"/>
        <v/>
      </c>
      <c r="Y67" s="91" t="str">
        <f t="shared" ca="1" si="7"/>
        <v/>
      </c>
    </row>
    <row r="68" spans="1:25" ht="14.5" x14ac:dyDescent="0.35">
      <c r="A68" s="126"/>
      <c r="N68" s="90" t="e">
        <f>IF(AND(W67&lt;$B$24,W67&lt;$R$14),W67+1,"")</f>
        <v>#DIV/0!</v>
      </c>
      <c r="O68" s="90" t="str">
        <f t="shared" ca="1" si="0"/>
        <v/>
      </c>
      <c r="P68" s="91" t="str">
        <f t="shared" ca="1" si="1"/>
        <v/>
      </c>
      <c r="Q68" s="90" t="e">
        <f>IF(AND(N117&lt;$B$24,N117&lt;$R$14),N117+1,"")</f>
        <v>#DIV/0!</v>
      </c>
      <c r="R68" s="90" t="str">
        <f t="shared" ca="1" si="2"/>
        <v/>
      </c>
      <c r="S68" s="91" t="str">
        <f t="shared" ca="1" si="3"/>
        <v/>
      </c>
      <c r="T68" s="90" t="e">
        <f>IF(AND(Q117&lt;$B$24,Q117&lt;$R$14),Q117+1,"")</f>
        <v>#DIV/0!</v>
      </c>
      <c r="U68" s="90" t="str">
        <f t="shared" ca="1" si="4"/>
        <v/>
      </c>
      <c r="V68" s="91" t="str">
        <f t="shared" ca="1" si="5"/>
        <v/>
      </c>
      <c r="W68" s="90" t="e">
        <f>IF(AND(T117&lt;$B$24,T117&lt;$R$14),T117+1,"")</f>
        <v>#DIV/0!</v>
      </c>
      <c r="X68" s="90" t="str">
        <f t="shared" ca="1" si="6"/>
        <v/>
      </c>
      <c r="Y68" s="91" t="str">
        <f t="shared" ca="1" si="7"/>
        <v/>
      </c>
    </row>
    <row r="69" spans="1:25" ht="14.5" x14ac:dyDescent="0.35">
      <c r="A69" s="81"/>
      <c r="N69" s="90" t="e">
        <f t="shared" ref="N69:N117" si="12">IF(AND(N68&lt;$B$24,N68&lt;$R$14),N68+1,"")</f>
        <v>#DIV/0!</v>
      </c>
      <c r="O69" s="90" t="str">
        <f t="shared" ca="1" si="0"/>
        <v/>
      </c>
      <c r="P69" s="91" t="str">
        <f t="shared" ca="1" si="1"/>
        <v/>
      </c>
      <c r="Q69" s="90" t="e">
        <f t="shared" ref="Q69:Q117" si="13">IF(AND(Q68&lt;$B$24,Q68&lt;$R$14),Q68+1,"")</f>
        <v>#DIV/0!</v>
      </c>
      <c r="R69" s="90" t="str">
        <f t="shared" ca="1" si="2"/>
        <v/>
      </c>
      <c r="S69" s="91" t="str">
        <f t="shared" ca="1" si="3"/>
        <v/>
      </c>
      <c r="T69" s="90" t="e">
        <f t="shared" ref="T69:T117" si="14">IF(AND(T68&lt;$B$24,T68&lt;$R$14),T68+1,"")</f>
        <v>#DIV/0!</v>
      </c>
      <c r="U69" s="90" t="str">
        <f t="shared" ca="1" si="4"/>
        <v/>
      </c>
      <c r="V69" s="91" t="str">
        <f t="shared" ca="1" si="5"/>
        <v/>
      </c>
      <c r="W69" s="90" t="e">
        <f t="shared" ref="W69:W117" si="15">IF(AND(W68&lt;$B$24,W68&lt;$R$14),W68+1,"")</f>
        <v>#DIV/0!</v>
      </c>
      <c r="X69" s="90" t="str">
        <f t="shared" ca="1" si="6"/>
        <v/>
      </c>
      <c r="Y69" s="91" t="str">
        <f t="shared" ca="1" si="7"/>
        <v/>
      </c>
    </row>
    <row r="70" spans="1:25" ht="14.5" x14ac:dyDescent="0.35">
      <c r="N70" s="90" t="e">
        <f t="shared" si="12"/>
        <v>#DIV/0!</v>
      </c>
      <c r="O70" s="90" t="str">
        <f t="shared" ca="1" si="0"/>
        <v/>
      </c>
      <c r="P70" s="91" t="str">
        <f t="shared" ca="1" si="1"/>
        <v/>
      </c>
      <c r="Q70" s="90" t="e">
        <f t="shared" si="13"/>
        <v>#DIV/0!</v>
      </c>
      <c r="R70" s="90" t="str">
        <f t="shared" ca="1" si="2"/>
        <v/>
      </c>
      <c r="S70" s="91" t="str">
        <f t="shared" ca="1" si="3"/>
        <v/>
      </c>
      <c r="T70" s="90" t="e">
        <f t="shared" si="14"/>
        <v>#DIV/0!</v>
      </c>
      <c r="U70" s="90" t="str">
        <f t="shared" ca="1" si="4"/>
        <v/>
      </c>
      <c r="V70" s="91" t="str">
        <f t="shared" ca="1" si="5"/>
        <v/>
      </c>
      <c r="W70" s="90" t="e">
        <f t="shared" si="15"/>
        <v>#DIV/0!</v>
      </c>
      <c r="X70" s="90" t="str">
        <f t="shared" ca="1" si="6"/>
        <v/>
      </c>
      <c r="Y70" s="91" t="str">
        <f t="shared" ca="1" si="7"/>
        <v/>
      </c>
    </row>
    <row r="71" spans="1:25" ht="14.5" x14ac:dyDescent="0.35">
      <c r="N71" s="90" t="e">
        <f t="shared" si="12"/>
        <v>#DIV/0!</v>
      </c>
      <c r="O71" s="90" t="str">
        <f t="shared" ca="1" si="0"/>
        <v/>
      </c>
      <c r="P71" s="91" t="str">
        <f t="shared" ca="1" si="1"/>
        <v/>
      </c>
      <c r="Q71" s="90" t="e">
        <f t="shared" si="13"/>
        <v>#DIV/0!</v>
      </c>
      <c r="R71" s="90" t="str">
        <f t="shared" ca="1" si="2"/>
        <v/>
      </c>
      <c r="S71" s="91" t="str">
        <f t="shared" ca="1" si="3"/>
        <v/>
      </c>
      <c r="T71" s="90" t="e">
        <f t="shared" si="14"/>
        <v>#DIV/0!</v>
      </c>
      <c r="U71" s="90" t="str">
        <f t="shared" ca="1" si="4"/>
        <v/>
      </c>
      <c r="V71" s="91" t="str">
        <f t="shared" ca="1" si="5"/>
        <v/>
      </c>
      <c r="W71" s="90" t="e">
        <f t="shared" si="15"/>
        <v>#DIV/0!</v>
      </c>
      <c r="X71" s="90" t="str">
        <f t="shared" ca="1" si="6"/>
        <v/>
      </c>
      <c r="Y71" s="91" t="str">
        <f t="shared" ca="1" si="7"/>
        <v/>
      </c>
    </row>
    <row r="72" spans="1:25" ht="15" thickBot="1" x14ac:dyDescent="0.4">
      <c r="A72" s="127" t="s">
        <v>136</v>
      </c>
      <c r="B72" s="90"/>
      <c r="C72" s="90"/>
      <c r="D72" s="90"/>
      <c r="N72" s="90" t="e">
        <f t="shared" si="12"/>
        <v>#DIV/0!</v>
      </c>
      <c r="O72" s="90" t="str">
        <f t="shared" ca="1" si="0"/>
        <v/>
      </c>
      <c r="P72" s="91" t="str">
        <f t="shared" ca="1" si="1"/>
        <v/>
      </c>
      <c r="Q72" s="90" t="e">
        <f t="shared" si="13"/>
        <v>#DIV/0!</v>
      </c>
      <c r="R72" s="90" t="str">
        <f t="shared" ca="1" si="2"/>
        <v/>
      </c>
      <c r="S72" s="91" t="str">
        <f t="shared" ca="1" si="3"/>
        <v/>
      </c>
      <c r="T72" s="90" t="e">
        <f t="shared" si="14"/>
        <v>#DIV/0!</v>
      </c>
      <c r="U72" s="90" t="str">
        <f t="shared" ca="1" si="4"/>
        <v/>
      </c>
      <c r="V72" s="91" t="str">
        <f t="shared" ca="1" si="5"/>
        <v/>
      </c>
      <c r="W72" s="90" t="e">
        <f t="shared" si="15"/>
        <v>#DIV/0!</v>
      </c>
      <c r="X72" s="90" t="str">
        <f t="shared" ca="1" si="6"/>
        <v/>
      </c>
      <c r="Y72" s="91" t="str">
        <f t="shared" ca="1" si="7"/>
        <v/>
      </c>
    </row>
    <row r="73" spans="1:25" ht="15" thickBot="1" x14ac:dyDescent="0.4">
      <c r="A73" s="113" t="s">
        <v>137</v>
      </c>
      <c r="B73" s="143" t="s">
        <v>104</v>
      </c>
      <c r="C73" s="144"/>
      <c r="D73" s="145"/>
      <c r="N73" s="90" t="e">
        <f t="shared" si="12"/>
        <v>#DIV/0!</v>
      </c>
      <c r="O73" s="90" t="str">
        <f t="shared" ca="1" si="0"/>
        <v/>
      </c>
      <c r="P73" s="91" t="str">
        <f t="shared" ca="1" si="1"/>
        <v/>
      </c>
      <c r="Q73" s="90" t="e">
        <f t="shared" si="13"/>
        <v>#DIV/0!</v>
      </c>
      <c r="R73" s="90" t="str">
        <f t="shared" ca="1" si="2"/>
        <v/>
      </c>
      <c r="S73" s="91" t="str">
        <f t="shared" ca="1" si="3"/>
        <v/>
      </c>
      <c r="T73" s="90" t="e">
        <f t="shared" si="14"/>
        <v>#DIV/0!</v>
      </c>
      <c r="U73" s="90" t="str">
        <f t="shared" ca="1" si="4"/>
        <v/>
      </c>
      <c r="V73" s="91" t="str">
        <f t="shared" ca="1" si="5"/>
        <v/>
      </c>
      <c r="W73" s="90" t="e">
        <f t="shared" si="15"/>
        <v>#DIV/0!</v>
      </c>
      <c r="X73" s="90" t="str">
        <f t="shared" ca="1" si="6"/>
        <v/>
      </c>
      <c r="Y73" s="91" t="str">
        <f t="shared" ca="1" si="7"/>
        <v/>
      </c>
    </row>
    <row r="74" spans="1:25" ht="15" thickBot="1" x14ac:dyDescent="0.4">
      <c r="A74" s="114" t="s">
        <v>107</v>
      </c>
      <c r="B74" s="128" t="s">
        <v>130</v>
      </c>
      <c r="C74" s="128" t="s">
        <v>131</v>
      </c>
      <c r="D74" s="129" t="s">
        <v>132</v>
      </c>
      <c r="N74" s="90" t="e">
        <f t="shared" si="12"/>
        <v>#DIV/0!</v>
      </c>
      <c r="O74" s="90" t="str">
        <f t="shared" ca="1" si="0"/>
        <v/>
      </c>
      <c r="P74" s="91" t="str">
        <f t="shared" ca="1" si="1"/>
        <v/>
      </c>
      <c r="Q74" s="90" t="e">
        <f t="shared" si="13"/>
        <v>#DIV/0!</v>
      </c>
      <c r="R74" s="90" t="str">
        <f t="shared" ca="1" si="2"/>
        <v/>
      </c>
      <c r="S74" s="91" t="str">
        <f t="shared" ca="1" si="3"/>
        <v/>
      </c>
      <c r="T74" s="90" t="e">
        <f t="shared" si="14"/>
        <v>#DIV/0!</v>
      </c>
      <c r="U74" s="90" t="str">
        <f t="shared" ca="1" si="4"/>
        <v/>
      </c>
      <c r="V74" s="91" t="str">
        <f t="shared" ca="1" si="5"/>
        <v/>
      </c>
      <c r="W74" s="90" t="e">
        <f t="shared" si="15"/>
        <v>#DIV/0!</v>
      </c>
      <c r="X74" s="90" t="str">
        <f t="shared" ca="1" si="6"/>
        <v/>
      </c>
      <c r="Y74" s="91" t="str">
        <f t="shared" ca="1" si="7"/>
        <v/>
      </c>
    </row>
    <row r="75" spans="1:25" ht="14.5" x14ac:dyDescent="0.35">
      <c r="A75" s="130">
        <v>0</v>
      </c>
      <c r="B75" s="131">
        <v>2.31</v>
      </c>
      <c r="C75" s="132">
        <v>1.39</v>
      </c>
      <c r="D75" s="133">
        <v>0.7</v>
      </c>
      <c r="I75" s="68"/>
      <c r="N75" s="90" t="e">
        <f t="shared" si="12"/>
        <v>#DIV/0!</v>
      </c>
      <c r="O75" s="90" t="str">
        <f t="shared" ca="1" si="0"/>
        <v/>
      </c>
      <c r="P75" s="91" t="str">
        <f t="shared" ca="1" si="1"/>
        <v/>
      </c>
      <c r="Q75" s="90" t="e">
        <f t="shared" si="13"/>
        <v>#DIV/0!</v>
      </c>
      <c r="R75" s="90" t="str">
        <f t="shared" ca="1" si="2"/>
        <v/>
      </c>
      <c r="S75" s="91" t="str">
        <f t="shared" ca="1" si="3"/>
        <v/>
      </c>
      <c r="T75" s="90" t="e">
        <f t="shared" si="14"/>
        <v>#DIV/0!</v>
      </c>
      <c r="U75" s="90" t="str">
        <f t="shared" ca="1" si="4"/>
        <v/>
      </c>
      <c r="V75" s="91" t="str">
        <f t="shared" ca="1" si="5"/>
        <v/>
      </c>
      <c r="W75" s="90" t="e">
        <f t="shared" si="15"/>
        <v>#DIV/0!</v>
      </c>
      <c r="X75" s="90" t="str">
        <f t="shared" ca="1" si="6"/>
        <v/>
      </c>
      <c r="Y75" s="91" t="str">
        <f t="shared" ca="1" si="7"/>
        <v/>
      </c>
    </row>
    <row r="76" spans="1:25" ht="14.5" x14ac:dyDescent="0.35">
      <c r="A76" s="130">
        <v>0.05</v>
      </c>
      <c r="B76" s="121">
        <v>2.52</v>
      </c>
      <c r="C76" s="108">
        <v>1.49</v>
      </c>
      <c r="D76" s="109">
        <v>0.73</v>
      </c>
      <c r="N76" s="90" t="e">
        <f t="shared" si="12"/>
        <v>#DIV/0!</v>
      </c>
      <c r="O76" s="90" t="str">
        <f t="shared" ca="1" si="0"/>
        <v/>
      </c>
      <c r="P76" s="91" t="str">
        <f t="shared" ca="1" si="1"/>
        <v/>
      </c>
      <c r="Q76" s="90" t="e">
        <f t="shared" si="13"/>
        <v>#DIV/0!</v>
      </c>
      <c r="R76" s="90" t="str">
        <f t="shared" ca="1" si="2"/>
        <v/>
      </c>
      <c r="S76" s="91" t="str">
        <f t="shared" ca="1" si="3"/>
        <v/>
      </c>
      <c r="T76" s="90" t="e">
        <f t="shared" si="14"/>
        <v>#DIV/0!</v>
      </c>
      <c r="U76" s="90" t="str">
        <f t="shared" ca="1" si="4"/>
        <v/>
      </c>
      <c r="V76" s="91" t="str">
        <f t="shared" ca="1" si="5"/>
        <v/>
      </c>
      <c r="W76" s="90" t="e">
        <f t="shared" si="15"/>
        <v>#DIV/0!</v>
      </c>
      <c r="X76" s="90" t="str">
        <f t="shared" ca="1" si="6"/>
        <v/>
      </c>
      <c r="Y76" s="91" t="str">
        <f t="shared" ca="1" si="7"/>
        <v/>
      </c>
    </row>
    <row r="77" spans="1:25" ht="14.5" x14ac:dyDescent="0.35">
      <c r="A77" s="130">
        <v>0.1</v>
      </c>
      <c r="B77" s="121">
        <v>2.77</v>
      </c>
      <c r="C77" s="108">
        <v>1.61</v>
      </c>
      <c r="D77" s="109">
        <v>0.77</v>
      </c>
      <c r="N77" s="90" t="e">
        <f t="shared" si="12"/>
        <v>#DIV/0!</v>
      </c>
      <c r="O77" s="90" t="str">
        <f t="shared" ca="1" si="0"/>
        <v/>
      </c>
      <c r="P77" s="91" t="str">
        <f t="shared" ca="1" si="1"/>
        <v/>
      </c>
      <c r="Q77" s="90" t="e">
        <f t="shared" si="13"/>
        <v>#DIV/0!</v>
      </c>
      <c r="R77" s="90" t="str">
        <f t="shared" ca="1" si="2"/>
        <v/>
      </c>
      <c r="S77" s="91" t="str">
        <f t="shared" ca="1" si="3"/>
        <v/>
      </c>
      <c r="T77" s="90" t="e">
        <f t="shared" si="14"/>
        <v>#DIV/0!</v>
      </c>
      <c r="U77" s="90" t="str">
        <f t="shared" ca="1" si="4"/>
        <v/>
      </c>
      <c r="V77" s="91" t="str">
        <f t="shared" ca="1" si="5"/>
        <v/>
      </c>
      <c r="W77" s="90" t="e">
        <f t="shared" si="15"/>
        <v>#DIV/0!</v>
      </c>
      <c r="X77" s="90" t="str">
        <f t="shared" ca="1" si="6"/>
        <v/>
      </c>
      <c r="Y77" s="91" t="str">
        <f t="shared" ca="1" si="7"/>
        <v/>
      </c>
    </row>
    <row r="78" spans="1:25" ht="14.5" x14ac:dyDescent="0.35">
      <c r="A78" s="130">
        <v>0.15</v>
      </c>
      <c r="B78" s="121">
        <v>3.07</v>
      </c>
      <c r="C78" s="108">
        <v>1.74</v>
      </c>
      <c r="D78" s="109">
        <v>0.82</v>
      </c>
      <c r="N78" s="90" t="e">
        <f t="shared" si="12"/>
        <v>#DIV/0!</v>
      </c>
      <c r="O78" s="90" t="str">
        <f t="shared" ca="1" si="0"/>
        <v/>
      </c>
      <c r="P78" s="91" t="str">
        <f t="shared" ca="1" si="1"/>
        <v/>
      </c>
      <c r="Q78" s="90" t="e">
        <f t="shared" si="13"/>
        <v>#DIV/0!</v>
      </c>
      <c r="R78" s="90" t="str">
        <f t="shared" ca="1" si="2"/>
        <v/>
      </c>
      <c r="S78" s="91" t="str">
        <f t="shared" ca="1" si="3"/>
        <v/>
      </c>
      <c r="T78" s="90" t="e">
        <f t="shared" si="14"/>
        <v>#DIV/0!</v>
      </c>
      <c r="U78" s="90" t="str">
        <f t="shared" ca="1" si="4"/>
        <v/>
      </c>
      <c r="V78" s="91" t="str">
        <f t="shared" ca="1" si="5"/>
        <v/>
      </c>
      <c r="W78" s="90" t="e">
        <f t="shared" si="15"/>
        <v>#DIV/0!</v>
      </c>
      <c r="X78" s="90" t="str">
        <f t="shared" ca="1" si="6"/>
        <v/>
      </c>
      <c r="Y78" s="91" t="str">
        <f t="shared" ca="1" si="7"/>
        <v/>
      </c>
    </row>
    <row r="79" spans="1:25" ht="14.5" x14ac:dyDescent="0.35">
      <c r="A79" s="130">
        <v>0.2</v>
      </c>
      <c r="B79" s="121">
        <v>3.41</v>
      </c>
      <c r="C79" s="108">
        <v>1.9</v>
      </c>
      <c r="D79" s="109">
        <v>0.87</v>
      </c>
      <c r="N79" s="90" t="e">
        <f t="shared" si="12"/>
        <v>#DIV/0!</v>
      </c>
      <c r="O79" s="90" t="str">
        <f t="shared" ca="1" si="0"/>
        <v/>
      </c>
      <c r="P79" s="91" t="str">
        <f t="shared" ca="1" si="1"/>
        <v/>
      </c>
      <c r="Q79" s="90" t="e">
        <f t="shared" si="13"/>
        <v>#DIV/0!</v>
      </c>
      <c r="R79" s="90" t="str">
        <f t="shared" ca="1" si="2"/>
        <v/>
      </c>
      <c r="S79" s="91" t="str">
        <f t="shared" ca="1" si="3"/>
        <v/>
      </c>
      <c r="T79" s="90" t="e">
        <f t="shared" si="14"/>
        <v>#DIV/0!</v>
      </c>
      <c r="U79" s="90" t="str">
        <f t="shared" ca="1" si="4"/>
        <v/>
      </c>
      <c r="V79" s="91" t="str">
        <f t="shared" ca="1" si="5"/>
        <v/>
      </c>
      <c r="W79" s="90" t="e">
        <f t="shared" si="15"/>
        <v>#DIV/0!</v>
      </c>
      <c r="X79" s="90" t="str">
        <f t="shared" ca="1" si="6"/>
        <v/>
      </c>
      <c r="Y79" s="91" t="str">
        <f t="shared" ca="1" si="7"/>
        <v/>
      </c>
    </row>
    <row r="80" spans="1:25" ht="14.5" x14ac:dyDescent="0.35">
      <c r="A80" s="130">
        <v>0.25</v>
      </c>
      <c r="B80" s="121">
        <v>3.83</v>
      </c>
      <c r="C80" s="108">
        <v>2.09</v>
      </c>
      <c r="D80" s="109">
        <v>0.92</v>
      </c>
      <c r="N80" s="90" t="e">
        <f t="shared" si="12"/>
        <v>#DIV/0!</v>
      </c>
      <c r="O80" s="90" t="str">
        <f t="shared" ca="1" si="0"/>
        <v/>
      </c>
      <c r="P80" s="91" t="str">
        <f t="shared" ca="1" si="1"/>
        <v/>
      </c>
      <c r="Q80" s="90" t="e">
        <f t="shared" si="13"/>
        <v>#DIV/0!</v>
      </c>
      <c r="R80" s="90" t="str">
        <f t="shared" ca="1" si="2"/>
        <v/>
      </c>
      <c r="S80" s="91" t="str">
        <f t="shared" ca="1" si="3"/>
        <v/>
      </c>
      <c r="T80" s="90" t="e">
        <f t="shared" si="14"/>
        <v>#DIV/0!</v>
      </c>
      <c r="U80" s="90" t="str">
        <f t="shared" ca="1" si="4"/>
        <v/>
      </c>
      <c r="V80" s="91" t="str">
        <f t="shared" ca="1" si="5"/>
        <v/>
      </c>
      <c r="W80" s="90" t="e">
        <f t="shared" si="15"/>
        <v>#DIV/0!</v>
      </c>
      <c r="X80" s="90" t="str">
        <f t="shared" ca="1" si="6"/>
        <v/>
      </c>
      <c r="Y80" s="91" t="str">
        <f t="shared" ca="1" si="7"/>
        <v/>
      </c>
    </row>
    <row r="81" spans="1:25" ht="14.5" x14ac:dyDescent="0.35">
      <c r="A81" s="130">
        <v>0.3</v>
      </c>
      <c r="B81" s="121">
        <v>4.33</v>
      </c>
      <c r="C81" s="108">
        <v>2.2999999999999998</v>
      </c>
      <c r="D81" s="109">
        <v>0.99</v>
      </c>
      <c r="N81" s="90" t="e">
        <f t="shared" si="12"/>
        <v>#DIV/0!</v>
      </c>
      <c r="O81" s="90" t="str">
        <f t="shared" ca="1" si="0"/>
        <v/>
      </c>
      <c r="P81" s="91" t="str">
        <f t="shared" ca="1" si="1"/>
        <v/>
      </c>
      <c r="Q81" s="90" t="e">
        <f t="shared" si="13"/>
        <v>#DIV/0!</v>
      </c>
      <c r="R81" s="90" t="str">
        <f t="shared" ca="1" si="2"/>
        <v/>
      </c>
      <c r="S81" s="91" t="str">
        <f t="shared" ca="1" si="3"/>
        <v/>
      </c>
      <c r="T81" s="90" t="e">
        <f t="shared" si="14"/>
        <v>#DIV/0!</v>
      </c>
      <c r="U81" s="90" t="str">
        <f t="shared" ca="1" si="4"/>
        <v/>
      </c>
      <c r="V81" s="91" t="str">
        <f t="shared" ca="1" si="5"/>
        <v/>
      </c>
      <c r="W81" s="90" t="e">
        <f t="shared" si="15"/>
        <v>#DIV/0!</v>
      </c>
      <c r="X81" s="90" t="str">
        <f t="shared" ca="1" si="6"/>
        <v/>
      </c>
      <c r="Y81" s="91" t="str">
        <f t="shared" ca="1" si="7"/>
        <v/>
      </c>
    </row>
    <row r="82" spans="1:25" ht="14.5" x14ac:dyDescent="0.35">
      <c r="A82" s="130">
        <v>0.35</v>
      </c>
      <c r="B82" s="121">
        <v>4.95</v>
      </c>
      <c r="C82" s="108">
        <v>2.57</v>
      </c>
      <c r="D82" s="109">
        <v>1.06</v>
      </c>
      <c r="N82" s="90" t="e">
        <f t="shared" si="12"/>
        <v>#DIV/0!</v>
      </c>
      <c r="O82" s="90" t="str">
        <f t="shared" ref="O82:O145" ca="1" si="16">IF(ISNUMBER(N82),RANDBETWEEN(1,$R$14),"")</f>
        <v/>
      </c>
      <c r="P82" s="91" t="str">
        <f t="shared" ref="P82:P145" ca="1" si="17">IF(O82="","",COUNTIF($O$18:$O$417,O82)+COUNTIF($R$18:$R$417,O82)+COUNTIF($U$18:$U$417,O82)+COUNTIF($X$18:$X$417,O82))</f>
        <v/>
      </c>
      <c r="Q82" s="90" t="e">
        <f t="shared" si="13"/>
        <v>#DIV/0!</v>
      </c>
      <c r="R82" s="90" t="str">
        <f t="shared" ref="R82:R145" ca="1" si="18">IF(ISNUMBER(Q82),RANDBETWEEN(1,$R$14),"")</f>
        <v/>
      </c>
      <c r="S82" s="91" t="str">
        <f t="shared" ref="S82:S145" ca="1" si="19">IF(R82="","",COUNTIF($O$18:$O$417,R82)+COUNTIF($R$18:$R$417,R82)+COUNTIF($U$18:$U$417,R82)+COUNTIF($X$18:$X$417,R82))</f>
        <v/>
      </c>
      <c r="T82" s="90" t="e">
        <f t="shared" si="14"/>
        <v>#DIV/0!</v>
      </c>
      <c r="U82" s="90" t="str">
        <f t="shared" ref="U82:U145" ca="1" si="20">IF(ISNUMBER(T82),RANDBETWEEN(1,$R$14),"")</f>
        <v/>
      </c>
      <c r="V82" s="91" t="str">
        <f t="shared" ref="V82:V145" ca="1" si="21">IF(U82="","",COUNTIF($O$18:$O$417,U82)+COUNTIF($R$18:$R$417,U82)+COUNTIF($U$18:$U$417,U82)+COUNTIF($X$18:$X$417,U82))</f>
        <v/>
      </c>
      <c r="W82" s="90" t="e">
        <f t="shared" si="15"/>
        <v>#DIV/0!</v>
      </c>
      <c r="X82" s="90" t="str">
        <f t="shared" ref="X82:X145" ca="1" si="22">IF(ISNUMBER(W82),RANDBETWEEN(1,$R$14),"")</f>
        <v/>
      </c>
      <c r="Y82" s="91" t="str">
        <f t="shared" ref="Y82:Y145" ca="1" si="23">IF(X82="","",COUNTIF($O$18:$O$417,X82)+COUNTIF($R$18:$R$417,X82)+COUNTIF($U$18:$U$417,X82)+COUNTIF($X$18:$X$417,X82))</f>
        <v/>
      </c>
    </row>
    <row r="83" spans="1:25" ht="14.5" x14ac:dyDescent="0.35">
      <c r="A83" s="130">
        <v>0.4</v>
      </c>
      <c r="B83" s="121">
        <v>5.72</v>
      </c>
      <c r="C83" s="108">
        <v>2.89</v>
      </c>
      <c r="D83" s="109">
        <v>1.1399999999999999</v>
      </c>
      <c r="N83" s="90" t="e">
        <f t="shared" si="12"/>
        <v>#DIV/0!</v>
      </c>
      <c r="O83" s="90" t="str">
        <f t="shared" ca="1" si="16"/>
        <v/>
      </c>
      <c r="P83" s="91" t="str">
        <f t="shared" ca="1" si="17"/>
        <v/>
      </c>
      <c r="Q83" s="90" t="e">
        <f t="shared" si="13"/>
        <v>#DIV/0!</v>
      </c>
      <c r="R83" s="90" t="str">
        <f t="shared" ca="1" si="18"/>
        <v/>
      </c>
      <c r="S83" s="91" t="str">
        <f t="shared" ca="1" si="19"/>
        <v/>
      </c>
      <c r="T83" s="90" t="e">
        <f t="shared" si="14"/>
        <v>#DIV/0!</v>
      </c>
      <c r="U83" s="90" t="str">
        <f t="shared" ca="1" si="20"/>
        <v/>
      </c>
      <c r="V83" s="91" t="str">
        <f t="shared" ca="1" si="21"/>
        <v/>
      </c>
      <c r="W83" s="90" t="e">
        <f t="shared" si="15"/>
        <v>#DIV/0!</v>
      </c>
      <c r="X83" s="90" t="str">
        <f t="shared" ca="1" si="22"/>
        <v/>
      </c>
      <c r="Y83" s="91" t="str">
        <f t="shared" ca="1" si="23"/>
        <v/>
      </c>
    </row>
    <row r="84" spans="1:25" ht="14.5" x14ac:dyDescent="0.35">
      <c r="A84" s="130">
        <v>0.45</v>
      </c>
      <c r="B84" s="121">
        <v>6.71</v>
      </c>
      <c r="C84" s="108">
        <v>3.29</v>
      </c>
      <c r="D84" s="109">
        <v>1.25</v>
      </c>
      <c r="N84" s="90" t="e">
        <f t="shared" si="12"/>
        <v>#DIV/0!</v>
      </c>
      <c r="O84" s="90" t="str">
        <f t="shared" ca="1" si="16"/>
        <v/>
      </c>
      <c r="P84" s="91" t="str">
        <f t="shared" ca="1" si="17"/>
        <v/>
      </c>
      <c r="Q84" s="90" t="e">
        <f t="shared" si="13"/>
        <v>#DIV/0!</v>
      </c>
      <c r="R84" s="90" t="str">
        <f t="shared" ca="1" si="18"/>
        <v/>
      </c>
      <c r="S84" s="91" t="str">
        <f t="shared" ca="1" si="19"/>
        <v/>
      </c>
      <c r="T84" s="90" t="e">
        <f t="shared" si="14"/>
        <v>#DIV/0!</v>
      </c>
      <c r="U84" s="90" t="str">
        <f t="shared" ca="1" si="20"/>
        <v/>
      </c>
      <c r="V84" s="91" t="str">
        <f t="shared" ca="1" si="21"/>
        <v/>
      </c>
      <c r="W84" s="90" t="e">
        <f t="shared" si="15"/>
        <v>#DIV/0!</v>
      </c>
      <c r="X84" s="90" t="str">
        <f t="shared" ca="1" si="22"/>
        <v/>
      </c>
      <c r="Y84" s="91" t="str">
        <f t="shared" ca="1" si="23"/>
        <v/>
      </c>
    </row>
    <row r="85" spans="1:25" ht="15" thickBot="1" x14ac:dyDescent="0.4">
      <c r="A85" s="134">
        <v>0.5</v>
      </c>
      <c r="B85" s="123">
        <v>7.99</v>
      </c>
      <c r="C85" s="111">
        <v>3.8</v>
      </c>
      <c r="D85" s="112">
        <v>1.37</v>
      </c>
      <c r="N85" s="90" t="e">
        <f t="shared" si="12"/>
        <v>#DIV/0!</v>
      </c>
      <c r="O85" s="90" t="str">
        <f t="shared" ca="1" si="16"/>
        <v/>
      </c>
      <c r="P85" s="91" t="str">
        <f t="shared" ca="1" si="17"/>
        <v/>
      </c>
      <c r="Q85" s="90" t="e">
        <f t="shared" si="13"/>
        <v>#DIV/0!</v>
      </c>
      <c r="R85" s="90" t="str">
        <f t="shared" ca="1" si="18"/>
        <v/>
      </c>
      <c r="S85" s="91" t="str">
        <f t="shared" ca="1" si="19"/>
        <v/>
      </c>
      <c r="T85" s="90" t="e">
        <f t="shared" si="14"/>
        <v>#DIV/0!</v>
      </c>
      <c r="U85" s="90" t="str">
        <f t="shared" ca="1" si="20"/>
        <v/>
      </c>
      <c r="V85" s="91" t="str">
        <f t="shared" ca="1" si="21"/>
        <v/>
      </c>
      <c r="W85" s="90" t="e">
        <f t="shared" si="15"/>
        <v>#DIV/0!</v>
      </c>
      <c r="X85" s="90" t="str">
        <f t="shared" ca="1" si="22"/>
        <v/>
      </c>
      <c r="Y85" s="91" t="str">
        <f t="shared" ca="1" si="23"/>
        <v/>
      </c>
    </row>
    <row r="86" spans="1:25" ht="14.5" x14ac:dyDescent="0.35">
      <c r="A86" s="135"/>
      <c r="N86" s="90" t="e">
        <f t="shared" si="12"/>
        <v>#DIV/0!</v>
      </c>
      <c r="O86" s="90" t="str">
        <f t="shared" ca="1" si="16"/>
        <v/>
      </c>
      <c r="P86" s="91" t="str">
        <f t="shared" ca="1" si="17"/>
        <v/>
      </c>
      <c r="Q86" s="90" t="e">
        <f t="shared" si="13"/>
        <v>#DIV/0!</v>
      </c>
      <c r="R86" s="90" t="str">
        <f t="shared" ca="1" si="18"/>
        <v/>
      </c>
      <c r="S86" s="91" t="str">
        <f t="shared" ca="1" si="19"/>
        <v/>
      </c>
      <c r="T86" s="90" t="e">
        <f t="shared" si="14"/>
        <v>#DIV/0!</v>
      </c>
      <c r="U86" s="90" t="str">
        <f t="shared" ca="1" si="20"/>
        <v/>
      </c>
      <c r="V86" s="91" t="str">
        <f t="shared" ca="1" si="21"/>
        <v/>
      </c>
      <c r="W86" s="90" t="e">
        <f t="shared" si="15"/>
        <v>#DIV/0!</v>
      </c>
      <c r="X86" s="90" t="str">
        <f t="shared" ca="1" si="22"/>
        <v/>
      </c>
      <c r="Y86" s="91" t="str">
        <f t="shared" ca="1" si="23"/>
        <v/>
      </c>
    </row>
    <row r="87" spans="1:25" ht="14.5" x14ac:dyDescent="0.35">
      <c r="A87" s="135"/>
      <c r="N87" s="90" t="e">
        <f t="shared" si="12"/>
        <v>#DIV/0!</v>
      </c>
      <c r="O87" s="90" t="str">
        <f t="shared" ca="1" si="16"/>
        <v/>
      </c>
      <c r="P87" s="91" t="str">
        <f t="shared" ca="1" si="17"/>
        <v/>
      </c>
      <c r="Q87" s="90" t="e">
        <f t="shared" si="13"/>
        <v>#DIV/0!</v>
      </c>
      <c r="R87" s="90" t="str">
        <f t="shared" ca="1" si="18"/>
        <v/>
      </c>
      <c r="S87" s="91" t="str">
        <f t="shared" ca="1" si="19"/>
        <v/>
      </c>
      <c r="T87" s="90" t="e">
        <f t="shared" si="14"/>
        <v>#DIV/0!</v>
      </c>
      <c r="U87" s="90" t="str">
        <f t="shared" ca="1" si="20"/>
        <v/>
      </c>
      <c r="V87" s="91" t="str">
        <f t="shared" ca="1" si="21"/>
        <v/>
      </c>
      <c r="W87" s="90" t="e">
        <f t="shared" si="15"/>
        <v>#DIV/0!</v>
      </c>
      <c r="X87" s="90" t="str">
        <f t="shared" ca="1" si="22"/>
        <v/>
      </c>
      <c r="Y87" s="91" t="str">
        <f t="shared" ca="1" si="23"/>
        <v/>
      </c>
    </row>
    <row r="88" spans="1:25" ht="14.5" x14ac:dyDescent="0.35">
      <c r="N88" s="90" t="e">
        <f t="shared" si="12"/>
        <v>#DIV/0!</v>
      </c>
      <c r="O88" s="90" t="str">
        <f t="shared" ca="1" si="16"/>
        <v/>
      </c>
      <c r="P88" s="91" t="str">
        <f t="shared" ca="1" si="17"/>
        <v/>
      </c>
      <c r="Q88" s="90" t="e">
        <f t="shared" si="13"/>
        <v>#DIV/0!</v>
      </c>
      <c r="R88" s="90" t="str">
        <f t="shared" ca="1" si="18"/>
        <v/>
      </c>
      <c r="S88" s="91" t="str">
        <f t="shared" ca="1" si="19"/>
        <v/>
      </c>
      <c r="T88" s="90" t="e">
        <f t="shared" si="14"/>
        <v>#DIV/0!</v>
      </c>
      <c r="U88" s="90" t="str">
        <f t="shared" ca="1" si="20"/>
        <v/>
      </c>
      <c r="V88" s="91" t="str">
        <f t="shared" ca="1" si="21"/>
        <v/>
      </c>
      <c r="W88" s="90" t="e">
        <f t="shared" si="15"/>
        <v>#DIV/0!</v>
      </c>
      <c r="X88" s="90" t="str">
        <f t="shared" ca="1" si="22"/>
        <v/>
      </c>
      <c r="Y88" s="91" t="str">
        <f t="shared" ca="1" si="23"/>
        <v/>
      </c>
    </row>
    <row r="89" spans="1:25" ht="14.5" x14ac:dyDescent="0.35">
      <c r="N89" s="90" t="e">
        <f t="shared" si="12"/>
        <v>#DIV/0!</v>
      </c>
      <c r="O89" s="90" t="str">
        <f t="shared" ca="1" si="16"/>
        <v/>
      </c>
      <c r="P89" s="91" t="str">
        <f t="shared" ca="1" si="17"/>
        <v/>
      </c>
      <c r="Q89" s="90" t="e">
        <f t="shared" si="13"/>
        <v>#DIV/0!</v>
      </c>
      <c r="R89" s="90" t="str">
        <f t="shared" ca="1" si="18"/>
        <v/>
      </c>
      <c r="S89" s="91" t="str">
        <f t="shared" ca="1" si="19"/>
        <v/>
      </c>
      <c r="T89" s="90" t="e">
        <f t="shared" si="14"/>
        <v>#DIV/0!</v>
      </c>
      <c r="U89" s="90" t="str">
        <f t="shared" ca="1" si="20"/>
        <v/>
      </c>
      <c r="V89" s="91" t="str">
        <f t="shared" ca="1" si="21"/>
        <v/>
      </c>
      <c r="W89" s="90" t="e">
        <f t="shared" si="15"/>
        <v>#DIV/0!</v>
      </c>
      <c r="X89" s="90" t="str">
        <f t="shared" ca="1" si="22"/>
        <v/>
      </c>
      <c r="Y89" s="91" t="str">
        <f t="shared" ca="1" si="23"/>
        <v/>
      </c>
    </row>
    <row r="90" spans="1:25" ht="15" thickBot="1" x14ac:dyDescent="0.4">
      <c r="A90" s="127" t="s">
        <v>138</v>
      </c>
      <c r="B90" s="90"/>
      <c r="C90" s="90"/>
      <c r="D90" s="90"/>
      <c r="N90" s="90" t="e">
        <f t="shared" si="12"/>
        <v>#DIV/0!</v>
      </c>
      <c r="O90" s="90" t="str">
        <f t="shared" ca="1" si="16"/>
        <v/>
      </c>
      <c r="P90" s="91" t="str">
        <f t="shared" ca="1" si="17"/>
        <v/>
      </c>
      <c r="Q90" s="90" t="e">
        <f t="shared" si="13"/>
        <v>#DIV/0!</v>
      </c>
      <c r="R90" s="90" t="str">
        <f t="shared" ca="1" si="18"/>
        <v/>
      </c>
      <c r="S90" s="91" t="str">
        <f t="shared" ca="1" si="19"/>
        <v/>
      </c>
      <c r="T90" s="90" t="e">
        <f t="shared" si="14"/>
        <v>#DIV/0!</v>
      </c>
      <c r="U90" s="90" t="str">
        <f t="shared" ca="1" si="20"/>
        <v/>
      </c>
      <c r="V90" s="91" t="str">
        <f t="shared" ca="1" si="21"/>
        <v/>
      </c>
      <c r="W90" s="90" t="e">
        <f t="shared" si="15"/>
        <v>#DIV/0!</v>
      </c>
      <c r="X90" s="90" t="str">
        <f t="shared" ca="1" si="22"/>
        <v/>
      </c>
      <c r="Y90" s="91" t="str">
        <f t="shared" ca="1" si="23"/>
        <v/>
      </c>
    </row>
    <row r="91" spans="1:25" ht="15" thickBot="1" x14ac:dyDescent="0.4">
      <c r="A91" s="113" t="s">
        <v>137</v>
      </c>
      <c r="B91" s="143" t="s">
        <v>104</v>
      </c>
      <c r="C91" s="144"/>
      <c r="D91" s="145"/>
      <c r="N91" s="90" t="e">
        <f t="shared" si="12"/>
        <v>#DIV/0!</v>
      </c>
      <c r="O91" s="90" t="str">
        <f t="shared" ca="1" si="16"/>
        <v/>
      </c>
      <c r="P91" s="91" t="str">
        <f t="shared" ca="1" si="17"/>
        <v/>
      </c>
      <c r="Q91" s="90" t="e">
        <f t="shared" si="13"/>
        <v>#DIV/0!</v>
      </c>
      <c r="R91" s="90" t="str">
        <f t="shared" ca="1" si="18"/>
        <v/>
      </c>
      <c r="S91" s="91" t="str">
        <f t="shared" ca="1" si="19"/>
        <v/>
      </c>
      <c r="T91" s="90" t="e">
        <f t="shared" si="14"/>
        <v>#DIV/0!</v>
      </c>
      <c r="U91" s="90" t="str">
        <f t="shared" ca="1" si="20"/>
        <v/>
      </c>
      <c r="V91" s="91" t="str">
        <f t="shared" ca="1" si="21"/>
        <v/>
      </c>
      <c r="W91" s="90" t="e">
        <f t="shared" si="15"/>
        <v>#DIV/0!</v>
      </c>
      <c r="X91" s="90" t="str">
        <f t="shared" ca="1" si="22"/>
        <v/>
      </c>
      <c r="Y91" s="91" t="str">
        <f t="shared" ca="1" si="23"/>
        <v/>
      </c>
    </row>
    <row r="92" spans="1:25" ht="15" thickBot="1" x14ac:dyDescent="0.4">
      <c r="A92" s="114" t="s">
        <v>107</v>
      </c>
      <c r="B92" s="128" t="s">
        <v>130</v>
      </c>
      <c r="C92" s="128" t="s">
        <v>131</v>
      </c>
      <c r="D92" s="129" t="s">
        <v>132</v>
      </c>
      <c r="N92" s="90" t="e">
        <f t="shared" si="12"/>
        <v>#DIV/0!</v>
      </c>
      <c r="O92" s="90" t="str">
        <f t="shared" ca="1" si="16"/>
        <v/>
      </c>
      <c r="P92" s="91" t="str">
        <f t="shared" ca="1" si="17"/>
        <v/>
      </c>
      <c r="Q92" s="90" t="e">
        <f t="shared" si="13"/>
        <v>#DIV/0!</v>
      </c>
      <c r="R92" s="90" t="str">
        <f t="shared" ca="1" si="18"/>
        <v/>
      </c>
      <c r="S92" s="91" t="str">
        <f t="shared" ca="1" si="19"/>
        <v/>
      </c>
      <c r="T92" s="90" t="e">
        <f t="shared" si="14"/>
        <v>#DIV/0!</v>
      </c>
      <c r="U92" s="90" t="str">
        <f t="shared" ca="1" si="20"/>
        <v/>
      </c>
      <c r="V92" s="91" t="str">
        <f t="shared" ca="1" si="21"/>
        <v/>
      </c>
      <c r="W92" s="90" t="e">
        <f t="shared" si="15"/>
        <v>#DIV/0!</v>
      </c>
      <c r="X92" s="90" t="str">
        <f t="shared" ca="1" si="22"/>
        <v/>
      </c>
      <c r="Y92" s="91" t="str">
        <f t="shared" ca="1" si="23"/>
        <v/>
      </c>
    </row>
    <row r="93" spans="1:25" ht="14.5" x14ac:dyDescent="0.35">
      <c r="A93" s="130">
        <v>0</v>
      </c>
      <c r="B93" s="136">
        <f>5*$B$22</f>
        <v>2.5000000000000001E-2</v>
      </c>
      <c r="C93" s="136">
        <f>3*$B$22</f>
        <v>1.4999999999999999E-2</v>
      </c>
      <c r="D93" s="137">
        <f t="shared" ref="D93:D100" si="24">2*$B$22</f>
        <v>0.01</v>
      </c>
      <c r="N93" s="90" t="e">
        <f t="shared" si="12"/>
        <v>#DIV/0!</v>
      </c>
      <c r="O93" s="90" t="str">
        <f t="shared" ca="1" si="16"/>
        <v/>
      </c>
      <c r="P93" s="91" t="str">
        <f t="shared" ca="1" si="17"/>
        <v/>
      </c>
      <c r="Q93" s="90" t="e">
        <f t="shared" si="13"/>
        <v>#DIV/0!</v>
      </c>
      <c r="R93" s="90" t="str">
        <f t="shared" ca="1" si="18"/>
        <v/>
      </c>
      <c r="S93" s="91" t="str">
        <f t="shared" ca="1" si="19"/>
        <v/>
      </c>
      <c r="T93" s="90" t="e">
        <f t="shared" si="14"/>
        <v>#DIV/0!</v>
      </c>
      <c r="U93" s="90" t="str">
        <f t="shared" ca="1" si="20"/>
        <v/>
      </c>
      <c r="V93" s="91" t="str">
        <f t="shared" ca="1" si="21"/>
        <v/>
      </c>
      <c r="W93" s="90" t="e">
        <f t="shared" si="15"/>
        <v>#DIV/0!</v>
      </c>
      <c r="X93" s="90" t="str">
        <f t="shared" ca="1" si="22"/>
        <v/>
      </c>
      <c r="Y93" s="91" t="str">
        <f t="shared" ca="1" si="23"/>
        <v/>
      </c>
    </row>
    <row r="94" spans="1:25" ht="14.5" x14ac:dyDescent="0.35">
      <c r="A94" s="130">
        <v>0.05</v>
      </c>
      <c r="B94" s="136">
        <f>5*$B$22</f>
        <v>2.5000000000000001E-2</v>
      </c>
      <c r="C94" s="136">
        <f>3*$B$22</f>
        <v>1.4999999999999999E-2</v>
      </c>
      <c r="D94" s="137">
        <f t="shared" si="24"/>
        <v>0.01</v>
      </c>
      <c r="N94" s="90" t="e">
        <f t="shared" si="12"/>
        <v>#DIV/0!</v>
      </c>
      <c r="O94" s="90" t="str">
        <f t="shared" ca="1" si="16"/>
        <v/>
      </c>
      <c r="P94" s="91" t="str">
        <f t="shared" ca="1" si="17"/>
        <v/>
      </c>
      <c r="Q94" s="90" t="e">
        <f t="shared" si="13"/>
        <v>#DIV/0!</v>
      </c>
      <c r="R94" s="90" t="str">
        <f t="shared" ca="1" si="18"/>
        <v/>
      </c>
      <c r="S94" s="91" t="str">
        <f t="shared" ca="1" si="19"/>
        <v/>
      </c>
      <c r="T94" s="90" t="e">
        <f t="shared" si="14"/>
        <v>#DIV/0!</v>
      </c>
      <c r="U94" s="90" t="str">
        <f t="shared" ca="1" si="20"/>
        <v/>
      </c>
      <c r="V94" s="91" t="str">
        <f t="shared" ca="1" si="21"/>
        <v/>
      </c>
      <c r="W94" s="90" t="e">
        <f t="shared" si="15"/>
        <v>#DIV/0!</v>
      </c>
      <c r="X94" s="90" t="str">
        <f t="shared" ca="1" si="22"/>
        <v/>
      </c>
      <c r="Y94" s="91" t="str">
        <f t="shared" ca="1" si="23"/>
        <v/>
      </c>
    </row>
    <row r="95" spans="1:25" ht="14.5" x14ac:dyDescent="0.35">
      <c r="A95" s="130">
        <v>0.1</v>
      </c>
      <c r="B95" s="136">
        <f>5*$B$22</f>
        <v>2.5000000000000001E-2</v>
      </c>
      <c r="C95" s="136">
        <f>3*$B$22</f>
        <v>1.4999999999999999E-2</v>
      </c>
      <c r="D95" s="137">
        <f t="shared" si="24"/>
        <v>0.01</v>
      </c>
      <c r="N95" s="90" t="e">
        <f t="shared" si="12"/>
        <v>#DIV/0!</v>
      </c>
      <c r="O95" s="90" t="str">
        <f t="shared" ca="1" si="16"/>
        <v/>
      </c>
      <c r="P95" s="91" t="str">
        <f t="shared" ca="1" si="17"/>
        <v/>
      </c>
      <c r="Q95" s="90" t="e">
        <f t="shared" si="13"/>
        <v>#DIV/0!</v>
      </c>
      <c r="R95" s="90" t="str">
        <f t="shared" ca="1" si="18"/>
        <v/>
      </c>
      <c r="S95" s="91" t="str">
        <f t="shared" ca="1" si="19"/>
        <v/>
      </c>
      <c r="T95" s="90" t="e">
        <f t="shared" si="14"/>
        <v>#DIV/0!</v>
      </c>
      <c r="U95" s="90" t="str">
        <f t="shared" ca="1" si="20"/>
        <v/>
      </c>
      <c r="V95" s="91" t="str">
        <f t="shared" ca="1" si="21"/>
        <v/>
      </c>
      <c r="W95" s="90" t="e">
        <f t="shared" si="15"/>
        <v>#DIV/0!</v>
      </c>
      <c r="X95" s="90" t="str">
        <f t="shared" ca="1" si="22"/>
        <v/>
      </c>
      <c r="Y95" s="91" t="str">
        <f t="shared" ca="1" si="23"/>
        <v/>
      </c>
    </row>
    <row r="96" spans="1:25" ht="14.5" x14ac:dyDescent="0.35">
      <c r="A96" s="130">
        <v>0.15</v>
      </c>
      <c r="B96" s="136">
        <f>5*$B$22</f>
        <v>2.5000000000000001E-2</v>
      </c>
      <c r="C96" s="136">
        <f>3*$B$22</f>
        <v>1.4999999999999999E-2</v>
      </c>
      <c r="D96" s="137">
        <f t="shared" si="24"/>
        <v>0.01</v>
      </c>
      <c r="N96" s="90" t="e">
        <f t="shared" si="12"/>
        <v>#DIV/0!</v>
      </c>
      <c r="O96" s="90" t="str">
        <f t="shared" ca="1" si="16"/>
        <v/>
      </c>
      <c r="P96" s="91" t="str">
        <f t="shared" ca="1" si="17"/>
        <v/>
      </c>
      <c r="Q96" s="90" t="e">
        <f t="shared" si="13"/>
        <v>#DIV/0!</v>
      </c>
      <c r="R96" s="90" t="str">
        <f t="shared" ca="1" si="18"/>
        <v/>
      </c>
      <c r="S96" s="91" t="str">
        <f t="shared" ca="1" si="19"/>
        <v/>
      </c>
      <c r="T96" s="90" t="e">
        <f t="shared" si="14"/>
        <v>#DIV/0!</v>
      </c>
      <c r="U96" s="90" t="str">
        <f t="shared" ca="1" si="20"/>
        <v/>
      </c>
      <c r="V96" s="91" t="str">
        <f t="shared" ca="1" si="21"/>
        <v/>
      </c>
      <c r="W96" s="90" t="e">
        <f t="shared" si="15"/>
        <v>#DIV/0!</v>
      </c>
      <c r="X96" s="90" t="str">
        <f t="shared" ca="1" si="22"/>
        <v/>
      </c>
      <c r="Y96" s="91" t="str">
        <f t="shared" ca="1" si="23"/>
        <v/>
      </c>
    </row>
    <row r="97" spans="1:25" ht="14.5" x14ac:dyDescent="0.35">
      <c r="A97" s="130">
        <v>0.2</v>
      </c>
      <c r="B97" s="136">
        <f>7*$B$22</f>
        <v>3.5000000000000003E-2</v>
      </c>
      <c r="C97" s="136">
        <f>4*$B$22</f>
        <v>0.02</v>
      </c>
      <c r="D97" s="137">
        <f t="shared" si="24"/>
        <v>0.01</v>
      </c>
      <c r="N97" s="90" t="e">
        <f t="shared" si="12"/>
        <v>#DIV/0!</v>
      </c>
      <c r="O97" s="90" t="str">
        <f t="shared" ca="1" si="16"/>
        <v/>
      </c>
      <c r="P97" s="91" t="str">
        <f t="shared" ca="1" si="17"/>
        <v/>
      </c>
      <c r="Q97" s="90" t="e">
        <f t="shared" si="13"/>
        <v>#DIV/0!</v>
      </c>
      <c r="R97" s="90" t="str">
        <f t="shared" ca="1" si="18"/>
        <v/>
      </c>
      <c r="S97" s="91" t="str">
        <f t="shared" ca="1" si="19"/>
        <v/>
      </c>
      <c r="T97" s="90" t="e">
        <f t="shared" si="14"/>
        <v>#DIV/0!</v>
      </c>
      <c r="U97" s="90" t="str">
        <f t="shared" ca="1" si="20"/>
        <v/>
      </c>
      <c r="V97" s="91" t="str">
        <f t="shared" ca="1" si="21"/>
        <v/>
      </c>
      <c r="W97" s="90" t="e">
        <f t="shared" si="15"/>
        <v>#DIV/0!</v>
      </c>
      <c r="X97" s="90" t="str">
        <f t="shared" ca="1" si="22"/>
        <v/>
      </c>
      <c r="Y97" s="91" t="str">
        <f t="shared" ca="1" si="23"/>
        <v/>
      </c>
    </row>
    <row r="98" spans="1:25" ht="14.5" x14ac:dyDescent="0.35">
      <c r="A98" s="130">
        <v>0.25</v>
      </c>
      <c r="B98" s="136">
        <f>7*$B$22</f>
        <v>3.5000000000000003E-2</v>
      </c>
      <c r="C98" s="136">
        <f>4*$B$22</f>
        <v>0.02</v>
      </c>
      <c r="D98" s="137">
        <f t="shared" si="24"/>
        <v>0.01</v>
      </c>
      <c r="N98" s="90" t="e">
        <f t="shared" si="12"/>
        <v>#DIV/0!</v>
      </c>
      <c r="O98" s="90" t="str">
        <f t="shared" ca="1" si="16"/>
        <v/>
      </c>
      <c r="P98" s="91" t="str">
        <f t="shared" ca="1" si="17"/>
        <v/>
      </c>
      <c r="Q98" s="90" t="e">
        <f t="shared" si="13"/>
        <v>#DIV/0!</v>
      </c>
      <c r="R98" s="90" t="str">
        <f t="shared" ca="1" si="18"/>
        <v/>
      </c>
      <c r="S98" s="91" t="str">
        <f t="shared" ca="1" si="19"/>
        <v/>
      </c>
      <c r="T98" s="90" t="e">
        <f t="shared" si="14"/>
        <v>#DIV/0!</v>
      </c>
      <c r="U98" s="90" t="str">
        <f t="shared" ca="1" si="20"/>
        <v/>
      </c>
      <c r="V98" s="91" t="str">
        <f t="shared" ca="1" si="21"/>
        <v/>
      </c>
      <c r="W98" s="90" t="e">
        <f t="shared" si="15"/>
        <v>#DIV/0!</v>
      </c>
      <c r="X98" s="90" t="str">
        <f t="shared" ca="1" si="22"/>
        <v/>
      </c>
      <c r="Y98" s="91" t="str">
        <f t="shared" ca="1" si="23"/>
        <v/>
      </c>
    </row>
    <row r="99" spans="1:25" ht="14.5" x14ac:dyDescent="0.35">
      <c r="A99" s="130">
        <v>0.3</v>
      </c>
      <c r="B99" s="136">
        <f>7*$B$22</f>
        <v>3.5000000000000003E-2</v>
      </c>
      <c r="C99" s="136">
        <f>4*$B$22</f>
        <v>0.02</v>
      </c>
      <c r="D99" s="137">
        <f t="shared" si="24"/>
        <v>0.01</v>
      </c>
      <c r="N99" s="90" t="e">
        <f t="shared" si="12"/>
        <v>#DIV/0!</v>
      </c>
      <c r="O99" s="90" t="str">
        <f t="shared" ca="1" si="16"/>
        <v/>
      </c>
      <c r="P99" s="91" t="str">
        <f t="shared" ca="1" si="17"/>
        <v/>
      </c>
      <c r="Q99" s="90" t="e">
        <f t="shared" si="13"/>
        <v>#DIV/0!</v>
      </c>
      <c r="R99" s="90" t="str">
        <f t="shared" ca="1" si="18"/>
        <v/>
      </c>
      <c r="S99" s="91" t="str">
        <f t="shared" ca="1" si="19"/>
        <v/>
      </c>
      <c r="T99" s="90" t="e">
        <f t="shared" si="14"/>
        <v>#DIV/0!</v>
      </c>
      <c r="U99" s="90" t="str">
        <f t="shared" ca="1" si="20"/>
        <v/>
      </c>
      <c r="V99" s="91" t="str">
        <f t="shared" ca="1" si="21"/>
        <v/>
      </c>
      <c r="W99" s="90" t="e">
        <f t="shared" si="15"/>
        <v>#DIV/0!</v>
      </c>
      <c r="X99" s="90" t="str">
        <f t="shared" ca="1" si="22"/>
        <v/>
      </c>
      <c r="Y99" s="91" t="str">
        <f t="shared" ca="1" si="23"/>
        <v/>
      </c>
    </row>
    <row r="100" spans="1:25" ht="14.5" x14ac:dyDescent="0.35">
      <c r="A100" s="130">
        <v>0.35</v>
      </c>
      <c r="B100" s="136">
        <f>7*$B$22</f>
        <v>3.5000000000000003E-2</v>
      </c>
      <c r="C100" s="136">
        <f>4*$B$22</f>
        <v>0.02</v>
      </c>
      <c r="D100" s="137">
        <f t="shared" si="24"/>
        <v>0.01</v>
      </c>
      <c r="N100" s="90" t="e">
        <f t="shared" si="12"/>
        <v>#DIV/0!</v>
      </c>
      <c r="O100" s="90" t="str">
        <f t="shared" ca="1" si="16"/>
        <v/>
      </c>
      <c r="P100" s="91" t="str">
        <f t="shared" ca="1" si="17"/>
        <v/>
      </c>
      <c r="Q100" s="90" t="e">
        <f t="shared" si="13"/>
        <v>#DIV/0!</v>
      </c>
      <c r="R100" s="90" t="str">
        <f t="shared" ca="1" si="18"/>
        <v/>
      </c>
      <c r="S100" s="91" t="str">
        <f t="shared" ca="1" si="19"/>
        <v/>
      </c>
      <c r="T100" s="90" t="e">
        <f t="shared" si="14"/>
        <v>#DIV/0!</v>
      </c>
      <c r="U100" s="90" t="str">
        <f t="shared" ca="1" si="20"/>
        <v/>
      </c>
      <c r="V100" s="91" t="str">
        <f t="shared" ca="1" si="21"/>
        <v/>
      </c>
      <c r="W100" s="90" t="e">
        <f t="shared" si="15"/>
        <v>#DIV/0!</v>
      </c>
      <c r="X100" s="90" t="str">
        <f t="shared" ca="1" si="22"/>
        <v/>
      </c>
      <c r="Y100" s="91" t="str">
        <f t="shared" ca="1" si="23"/>
        <v/>
      </c>
    </row>
    <row r="101" spans="1:25" ht="14.5" x14ac:dyDescent="0.35">
      <c r="A101" s="130">
        <v>0.4</v>
      </c>
      <c r="B101" s="136">
        <f t="shared" ref="B101:D103" si="25">12*$B$22</f>
        <v>0.06</v>
      </c>
      <c r="C101" s="136">
        <f t="shared" si="25"/>
        <v>0.06</v>
      </c>
      <c r="D101" s="137">
        <f t="shared" si="25"/>
        <v>0.06</v>
      </c>
      <c r="N101" s="90" t="e">
        <f t="shared" si="12"/>
        <v>#DIV/0!</v>
      </c>
      <c r="O101" s="90" t="str">
        <f t="shared" ca="1" si="16"/>
        <v/>
      </c>
      <c r="P101" s="91" t="str">
        <f t="shared" ca="1" si="17"/>
        <v/>
      </c>
      <c r="Q101" s="90" t="e">
        <f t="shared" si="13"/>
        <v>#DIV/0!</v>
      </c>
      <c r="R101" s="90" t="str">
        <f t="shared" ca="1" si="18"/>
        <v/>
      </c>
      <c r="S101" s="91" t="str">
        <f t="shared" ca="1" si="19"/>
        <v/>
      </c>
      <c r="T101" s="90" t="e">
        <f t="shared" si="14"/>
        <v>#DIV/0!</v>
      </c>
      <c r="U101" s="90" t="str">
        <f t="shared" ca="1" si="20"/>
        <v/>
      </c>
      <c r="V101" s="91" t="str">
        <f t="shared" ca="1" si="21"/>
        <v/>
      </c>
      <c r="W101" s="90" t="e">
        <f t="shared" si="15"/>
        <v>#DIV/0!</v>
      </c>
      <c r="X101" s="90" t="str">
        <f t="shared" ca="1" si="22"/>
        <v/>
      </c>
      <c r="Y101" s="91" t="str">
        <f t="shared" ca="1" si="23"/>
        <v/>
      </c>
    </row>
    <row r="102" spans="1:25" ht="14.5" x14ac:dyDescent="0.35">
      <c r="A102" s="130">
        <v>0.45</v>
      </c>
      <c r="B102" s="136">
        <f t="shared" si="25"/>
        <v>0.06</v>
      </c>
      <c r="C102" s="136">
        <f t="shared" si="25"/>
        <v>0.06</v>
      </c>
      <c r="D102" s="137">
        <f t="shared" si="25"/>
        <v>0.06</v>
      </c>
      <c r="N102" s="90" t="e">
        <f t="shared" si="12"/>
        <v>#DIV/0!</v>
      </c>
      <c r="O102" s="90" t="str">
        <f t="shared" ca="1" si="16"/>
        <v/>
      </c>
      <c r="P102" s="91" t="str">
        <f t="shared" ca="1" si="17"/>
        <v/>
      </c>
      <c r="Q102" s="90" t="e">
        <f t="shared" si="13"/>
        <v>#DIV/0!</v>
      </c>
      <c r="R102" s="90" t="str">
        <f t="shared" ca="1" si="18"/>
        <v/>
      </c>
      <c r="S102" s="91" t="str">
        <f t="shared" ca="1" si="19"/>
        <v/>
      </c>
      <c r="T102" s="90" t="e">
        <f t="shared" si="14"/>
        <v>#DIV/0!</v>
      </c>
      <c r="U102" s="90" t="str">
        <f t="shared" ca="1" si="20"/>
        <v/>
      </c>
      <c r="V102" s="91" t="str">
        <f t="shared" ca="1" si="21"/>
        <v/>
      </c>
      <c r="W102" s="90" t="e">
        <f t="shared" si="15"/>
        <v>#DIV/0!</v>
      </c>
      <c r="X102" s="90" t="str">
        <f t="shared" ca="1" si="22"/>
        <v/>
      </c>
      <c r="Y102" s="91" t="str">
        <f t="shared" ca="1" si="23"/>
        <v/>
      </c>
    </row>
    <row r="103" spans="1:25" ht="15" thickBot="1" x14ac:dyDescent="0.4">
      <c r="A103" s="134">
        <v>0.5</v>
      </c>
      <c r="B103" s="138">
        <f t="shared" si="25"/>
        <v>0.06</v>
      </c>
      <c r="C103" s="138">
        <f t="shared" si="25"/>
        <v>0.06</v>
      </c>
      <c r="D103" s="139">
        <f t="shared" si="25"/>
        <v>0.06</v>
      </c>
      <c r="N103" s="90" t="e">
        <f t="shared" si="12"/>
        <v>#DIV/0!</v>
      </c>
      <c r="O103" s="90" t="str">
        <f t="shared" ca="1" si="16"/>
        <v/>
      </c>
      <c r="P103" s="91" t="str">
        <f t="shared" ca="1" si="17"/>
        <v/>
      </c>
      <c r="Q103" s="90" t="e">
        <f t="shared" si="13"/>
        <v>#DIV/0!</v>
      </c>
      <c r="R103" s="90" t="str">
        <f t="shared" ca="1" si="18"/>
        <v/>
      </c>
      <c r="S103" s="91" t="str">
        <f t="shared" ca="1" si="19"/>
        <v/>
      </c>
      <c r="T103" s="90" t="e">
        <f t="shared" si="14"/>
        <v>#DIV/0!</v>
      </c>
      <c r="U103" s="90" t="str">
        <f t="shared" ca="1" si="20"/>
        <v/>
      </c>
      <c r="V103" s="91" t="str">
        <f t="shared" ca="1" si="21"/>
        <v/>
      </c>
      <c r="W103" s="90" t="e">
        <f t="shared" si="15"/>
        <v>#DIV/0!</v>
      </c>
      <c r="X103" s="90" t="str">
        <f t="shared" ca="1" si="22"/>
        <v/>
      </c>
      <c r="Y103" s="91" t="str">
        <f t="shared" ca="1" si="23"/>
        <v/>
      </c>
    </row>
    <row r="104" spans="1:25" ht="14.5" x14ac:dyDescent="0.35">
      <c r="A104" s="135"/>
      <c r="B104" s="140"/>
      <c r="C104" s="140"/>
      <c r="D104" s="140"/>
      <c r="N104" s="90" t="e">
        <f t="shared" si="12"/>
        <v>#DIV/0!</v>
      </c>
      <c r="O104" s="90" t="str">
        <f t="shared" ca="1" si="16"/>
        <v/>
      </c>
      <c r="P104" s="91" t="str">
        <f t="shared" ca="1" si="17"/>
        <v/>
      </c>
      <c r="Q104" s="90" t="e">
        <f t="shared" si="13"/>
        <v>#DIV/0!</v>
      </c>
      <c r="R104" s="90" t="str">
        <f t="shared" ca="1" si="18"/>
        <v/>
      </c>
      <c r="S104" s="91" t="str">
        <f t="shared" ca="1" si="19"/>
        <v/>
      </c>
      <c r="T104" s="90" t="e">
        <f t="shared" si="14"/>
        <v>#DIV/0!</v>
      </c>
      <c r="U104" s="90" t="str">
        <f t="shared" ca="1" si="20"/>
        <v/>
      </c>
      <c r="V104" s="91" t="str">
        <f t="shared" ca="1" si="21"/>
        <v/>
      </c>
      <c r="W104" s="90" t="e">
        <f t="shared" si="15"/>
        <v>#DIV/0!</v>
      </c>
      <c r="X104" s="90" t="str">
        <f t="shared" ca="1" si="22"/>
        <v/>
      </c>
      <c r="Y104" s="91" t="str">
        <f t="shared" ca="1" si="23"/>
        <v/>
      </c>
    </row>
    <row r="105" spans="1:25" ht="14.5" x14ac:dyDescent="0.35">
      <c r="A105" s="135"/>
      <c r="B105" s="140"/>
      <c r="C105" s="140"/>
      <c r="D105" s="140"/>
      <c r="N105" s="90" t="e">
        <f t="shared" si="12"/>
        <v>#DIV/0!</v>
      </c>
      <c r="O105" s="90" t="str">
        <f t="shared" ca="1" si="16"/>
        <v/>
      </c>
      <c r="P105" s="91" t="str">
        <f t="shared" ca="1" si="17"/>
        <v/>
      </c>
      <c r="Q105" s="90" t="e">
        <f t="shared" si="13"/>
        <v>#DIV/0!</v>
      </c>
      <c r="R105" s="90" t="str">
        <f t="shared" ca="1" si="18"/>
        <v/>
      </c>
      <c r="S105" s="91" t="str">
        <f t="shared" ca="1" si="19"/>
        <v/>
      </c>
      <c r="T105" s="90" t="e">
        <f t="shared" si="14"/>
        <v>#DIV/0!</v>
      </c>
      <c r="U105" s="90" t="str">
        <f t="shared" ca="1" si="20"/>
        <v/>
      </c>
      <c r="V105" s="91" t="str">
        <f t="shared" ca="1" si="21"/>
        <v/>
      </c>
      <c r="W105" s="90" t="e">
        <f t="shared" si="15"/>
        <v>#DIV/0!</v>
      </c>
      <c r="X105" s="90" t="str">
        <f t="shared" ca="1" si="22"/>
        <v/>
      </c>
      <c r="Y105" s="91" t="str">
        <f t="shared" ca="1" si="23"/>
        <v/>
      </c>
    </row>
    <row r="106" spans="1:25" ht="14.5" x14ac:dyDescent="0.35">
      <c r="N106" s="90" t="e">
        <f t="shared" si="12"/>
        <v>#DIV/0!</v>
      </c>
      <c r="O106" s="90" t="str">
        <f t="shared" ca="1" si="16"/>
        <v/>
      </c>
      <c r="P106" s="91" t="str">
        <f t="shared" ca="1" si="17"/>
        <v/>
      </c>
      <c r="Q106" s="90" t="e">
        <f t="shared" si="13"/>
        <v>#DIV/0!</v>
      </c>
      <c r="R106" s="90" t="str">
        <f t="shared" ca="1" si="18"/>
        <v/>
      </c>
      <c r="S106" s="91" t="str">
        <f t="shared" ca="1" si="19"/>
        <v/>
      </c>
      <c r="T106" s="90" t="e">
        <f t="shared" si="14"/>
        <v>#DIV/0!</v>
      </c>
      <c r="U106" s="90" t="str">
        <f t="shared" ca="1" si="20"/>
        <v/>
      </c>
      <c r="V106" s="91" t="str">
        <f t="shared" ca="1" si="21"/>
        <v/>
      </c>
      <c r="W106" s="90" t="e">
        <f t="shared" si="15"/>
        <v>#DIV/0!</v>
      </c>
      <c r="X106" s="90" t="str">
        <f t="shared" ca="1" si="22"/>
        <v/>
      </c>
      <c r="Y106" s="91" t="str">
        <f t="shared" ca="1" si="23"/>
        <v/>
      </c>
    </row>
    <row r="107" spans="1:25" ht="14.5" x14ac:dyDescent="0.35">
      <c r="N107" s="90" t="e">
        <f t="shared" si="12"/>
        <v>#DIV/0!</v>
      </c>
      <c r="O107" s="90" t="str">
        <f t="shared" ca="1" si="16"/>
        <v/>
      </c>
      <c r="P107" s="91" t="str">
        <f t="shared" ca="1" si="17"/>
        <v/>
      </c>
      <c r="Q107" s="90" t="e">
        <f t="shared" si="13"/>
        <v>#DIV/0!</v>
      </c>
      <c r="R107" s="90" t="str">
        <f t="shared" ca="1" si="18"/>
        <v/>
      </c>
      <c r="S107" s="91" t="str">
        <f t="shared" ca="1" si="19"/>
        <v/>
      </c>
      <c r="T107" s="90" t="e">
        <f t="shared" si="14"/>
        <v>#DIV/0!</v>
      </c>
      <c r="U107" s="90" t="str">
        <f t="shared" ca="1" si="20"/>
        <v/>
      </c>
      <c r="V107" s="91" t="str">
        <f t="shared" ca="1" si="21"/>
        <v/>
      </c>
      <c r="W107" s="90" t="e">
        <f t="shared" si="15"/>
        <v>#DIV/0!</v>
      </c>
      <c r="X107" s="90" t="str">
        <f t="shared" ca="1" si="22"/>
        <v/>
      </c>
      <c r="Y107" s="91" t="str">
        <f t="shared" ca="1" si="23"/>
        <v/>
      </c>
    </row>
    <row r="108" spans="1:25" ht="14.5" x14ac:dyDescent="0.35">
      <c r="N108" s="90" t="e">
        <f t="shared" si="12"/>
        <v>#DIV/0!</v>
      </c>
      <c r="O108" s="90" t="str">
        <f t="shared" ca="1" si="16"/>
        <v/>
      </c>
      <c r="P108" s="91" t="str">
        <f t="shared" ca="1" si="17"/>
        <v/>
      </c>
      <c r="Q108" s="90" t="e">
        <f t="shared" si="13"/>
        <v>#DIV/0!</v>
      </c>
      <c r="R108" s="90" t="str">
        <f t="shared" ca="1" si="18"/>
        <v/>
      </c>
      <c r="S108" s="91" t="str">
        <f t="shared" ca="1" si="19"/>
        <v/>
      </c>
      <c r="T108" s="90" t="e">
        <f t="shared" si="14"/>
        <v>#DIV/0!</v>
      </c>
      <c r="U108" s="90" t="str">
        <f t="shared" ca="1" si="20"/>
        <v/>
      </c>
      <c r="V108" s="91" t="str">
        <f t="shared" ca="1" si="21"/>
        <v/>
      </c>
      <c r="W108" s="90" t="e">
        <f t="shared" si="15"/>
        <v>#DIV/0!</v>
      </c>
      <c r="X108" s="90" t="str">
        <f t="shared" ca="1" si="22"/>
        <v/>
      </c>
      <c r="Y108" s="91" t="str">
        <f t="shared" ca="1" si="23"/>
        <v/>
      </c>
    </row>
    <row r="109" spans="1:25" ht="14.5" x14ac:dyDescent="0.35">
      <c r="N109" s="90" t="e">
        <f t="shared" si="12"/>
        <v>#DIV/0!</v>
      </c>
      <c r="O109" s="90" t="str">
        <f t="shared" ca="1" si="16"/>
        <v/>
      </c>
      <c r="P109" s="91" t="str">
        <f t="shared" ca="1" si="17"/>
        <v/>
      </c>
      <c r="Q109" s="90" t="e">
        <f t="shared" si="13"/>
        <v>#DIV/0!</v>
      </c>
      <c r="R109" s="90" t="str">
        <f t="shared" ca="1" si="18"/>
        <v/>
      </c>
      <c r="S109" s="91" t="str">
        <f t="shared" ca="1" si="19"/>
        <v/>
      </c>
      <c r="T109" s="90" t="e">
        <f t="shared" si="14"/>
        <v>#DIV/0!</v>
      </c>
      <c r="U109" s="90" t="str">
        <f t="shared" ca="1" si="20"/>
        <v/>
      </c>
      <c r="V109" s="91" t="str">
        <f t="shared" ca="1" si="21"/>
        <v/>
      </c>
      <c r="W109" s="90" t="e">
        <f t="shared" si="15"/>
        <v>#DIV/0!</v>
      </c>
      <c r="X109" s="90" t="str">
        <f t="shared" ca="1" si="22"/>
        <v/>
      </c>
      <c r="Y109" s="91" t="str">
        <f t="shared" ca="1" si="23"/>
        <v/>
      </c>
    </row>
    <row r="110" spans="1:25" ht="14.5" x14ac:dyDescent="0.35">
      <c r="N110" s="90" t="e">
        <f t="shared" si="12"/>
        <v>#DIV/0!</v>
      </c>
      <c r="O110" s="90" t="str">
        <f t="shared" ca="1" si="16"/>
        <v/>
      </c>
      <c r="P110" s="91" t="str">
        <f t="shared" ca="1" si="17"/>
        <v/>
      </c>
      <c r="Q110" s="90" t="e">
        <f t="shared" si="13"/>
        <v>#DIV/0!</v>
      </c>
      <c r="R110" s="90" t="str">
        <f t="shared" ca="1" si="18"/>
        <v/>
      </c>
      <c r="S110" s="91" t="str">
        <f t="shared" ca="1" si="19"/>
        <v/>
      </c>
      <c r="T110" s="90" t="e">
        <f t="shared" si="14"/>
        <v>#DIV/0!</v>
      </c>
      <c r="U110" s="90" t="str">
        <f t="shared" ca="1" si="20"/>
        <v/>
      </c>
      <c r="V110" s="91" t="str">
        <f t="shared" ca="1" si="21"/>
        <v/>
      </c>
      <c r="W110" s="90" t="e">
        <f t="shared" si="15"/>
        <v>#DIV/0!</v>
      </c>
      <c r="X110" s="90" t="str">
        <f t="shared" ca="1" si="22"/>
        <v/>
      </c>
      <c r="Y110" s="91" t="str">
        <f t="shared" ca="1" si="23"/>
        <v/>
      </c>
    </row>
    <row r="111" spans="1:25" ht="14.5" x14ac:dyDescent="0.35">
      <c r="N111" s="90" t="e">
        <f t="shared" si="12"/>
        <v>#DIV/0!</v>
      </c>
      <c r="O111" s="90" t="str">
        <f t="shared" ca="1" si="16"/>
        <v/>
      </c>
      <c r="P111" s="91" t="str">
        <f t="shared" ca="1" si="17"/>
        <v/>
      </c>
      <c r="Q111" s="90" t="e">
        <f t="shared" si="13"/>
        <v>#DIV/0!</v>
      </c>
      <c r="R111" s="90" t="str">
        <f t="shared" ca="1" si="18"/>
        <v/>
      </c>
      <c r="S111" s="91" t="str">
        <f t="shared" ca="1" si="19"/>
        <v/>
      </c>
      <c r="T111" s="90" t="e">
        <f t="shared" si="14"/>
        <v>#DIV/0!</v>
      </c>
      <c r="U111" s="90" t="str">
        <f t="shared" ca="1" si="20"/>
        <v/>
      </c>
      <c r="V111" s="91" t="str">
        <f t="shared" ca="1" si="21"/>
        <v/>
      </c>
      <c r="W111" s="90" t="e">
        <f t="shared" si="15"/>
        <v>#DIV/0!</v>
      </c>
      <c r="X111" s="90" t="str">
        <f t="shared" ca="1" si="22"/>
        <v/>
      </c>
      <c r="Y111" s="91" t="str">
        <f t="shared" ca="1" si="23"/>
        <v/>
      </c>
    </row>
    <row r="112" spans="1:25" ht="14.5" x14ac:dyDescent="0.35">
      <c r="N112" s="90" t="e">
        <f t="shared" si="12"/>
        <v>#DIV/0!</v>
      </c>
      <c r="O112" s="90" t="str">
        <f t="shared" ca="1" si="16"/>
        <v/>
      </c>
      <c r="P112" s="91" t="str">
        <f t="shared" ca="1" si="17"/>
        <v/>
      </c>
      <c r="Q112" s="90" t="e">
        <f t="shared" si="13"/>
        <v>#DIV/0!</v>
      </c>
      <c r="R112" s="90" t="str">
        <f t="shared" ca="1" si="18"/>
        <v/>
      </c>
      <c r="S112" s="91" t="str">
        <f t="shared" ca="1" si="19"/>
        <v/>
      </c>
      <c r="T112" s="90" t="e">
        <f t="shared" si="14"/>
        <v>#DIV/0!</v>
      </c>
      <c r="U112" s="90" t="str">
        <f t="shared" ca="1" si="20"/>
        <v/>
      </c>
      <c r="V112" s="91" t="str">
        <f t="shared" ca="1" si="21"/>
        <v/>
      </c>
      <c r="W112" s="90" t="e">
        <f t="shared" si="15"/>
        <v>#DIV/0!</v>
      </c>
      <c r="X112" s="90" t="str">
        <f t="shared" ca="1" si="22"/>
        <v/>
      </c>
      <c r="Y112" s="91" t="str">
        <f t="shared" ca="1" si="23"/>
        <v/>
      </c>
    </row>
    <row r="113" spans="14:25" ht="14.5" x14ac:dyDescent="0.35">
      <c r="N113" s="90" t="e">
        <f t="shared" si="12"/>
        <v>#DIV/0!</v>
      </c>
      <c r="O113" s="90" t="str">
        <f t="shared" ca="1" si="16"/>
        <v/>
      </c>
      <c r="P113" s="91" t="str">
        <f t="shared" ca="1" si="17"/>
        <v/>
      </c>
      <c r="Q113" s="90" t="e">
        <f t="shared" si="13"/>
        <v>#DIV/0!</v>
      </c>
      <c r="R113" s="90" t="str">
        <f t="shared" ca="1" si="18"/>
        <v/>
      </c>
      <c r="S113" s="91" t="str">
        <f t="shared" ca="1" si="19"/>
        <v/>
      </c>
      <c r="T113" s="90" t="e">
        <f t="shared" si="14"/>
        <v>#DIV/0!</v>
      </c>
      <c r="U113" s="90" t="str">
        <f t="shared" ca="1" si="20"/>
        <v/>
      </c>
      <c r="V113" s="91" t="str">
        <f t="shared" ca="1" si="21"/>
        <v/>
      </c>
      <c r="W113" s="90" t="e">
        <f t="shared" si="15"/>
        <v>#DIV/0!</v>
      </c>
      <c r="X113" s="90" t="str">
        <f t="shared" ca="1" si="22"/>
        <v/>
      </c>
      <c r="Y113" s="91" t="str">
        <f t="shared" ca="1" si="23"/>
        <v/>
      </c>
    </row>
    <row r="114" spans="14:25" ht="14.5" x14ac:dyDescent="0.35">
      <c r="N114" s="90" t="e">
        <f t="shared" si="12"/>
        <v>#DIV/0!</v>
      </c>
      <c r="O114" s="90" t="str">
        <f t="shared" ca="1" si="16"/>
        <v/>
      </c>
      <c r="P114" s="91" t="str">
        <f t="shared" ca="1" si="17"/>
        <v/>
      </c>
      <c r="Q114" s="90" t="e">
        <f t="shared" si="13"/>
        <v>#DIV/0!</v>
      </c>
      <c r="R114" s="90" t="str">
        <f t="shared" ca="1" si="18"/>
        <v/>
      </c>
      <c r="S114" s="91" t="str">
        <f t="shared" ca="1" si="19"/>
        <v/>
      </c>
      <c r="T114" s="90" t="e">
        <f t="shared" si="14"/>
        <v>#DIV/0!</v>
      </c>
      <c r="U114" s="90" t="str">
        <f t="shared" ca="1" si="20"/>
        <v/>
      </c>
      <c r="V114" s="91" t="str">
        <f t="shared" ca="1" si="21"/>
        <v/>
      </c>
      <c r="W114" s="90" t="e">
        <f t="shared" si="15"/>
        <v>#DIV/0!</v>
      </c>
      <c r="X114" s="90" t="str">
        <f t="shared" ca="1" si="22"/>
        <v/>
      </c>
      <c r="Y114" s="91" t="str">
        <f t="shared" ca="1" si="23"/>
        <v/>
      </c>
    </row>
    <row r="115" spans="14:25" ht="14.5" x14ac:dyDescent="0.35">
      <c r="N115" s="90" t="e">
        <f t="shared" si="12"/>
        <v>#DIV/0!</v>
      </c>
      <c r="O115" s="90" t="str">
        <f t="shared" ca="1" si="16"/>
        <v/>
      </c>
      <c r="P115" s="91" t="str">
        <f t="shared" ca="1" si="17"/>
        <v/>
      </c>
      <c r="Q115" s="90" t="e">
        <f t="shared" si="13"/>
        <v>#DIV/0!</v>
      </c>
      <c r="R115" s="90" t="str">
        <f t="shared" ca="1" si="18"/>
        <v/>
      </c>
      <c r="S115" s="91" t="str">
        <f t="shared" ca="1" si="19"/>
        <v/>
      </c>
      <c r="T115" s="90" t="e">
        <f t="shared" si="14"/>
        <v>#DIV/0!</v>
      </c>
      <c r="U115" s="90" t="str">
        <f t="shared" ca="1" si="20"/>
        <v/>
      </c>
      <c r="V115" s="91" t="str">
        <f t="shared" ca="1" si="21"/>
        <v/>
      </c>
      <c r="W115" s="90" t="e">
        <f t="shared" si="15"/>
        <v>#DIV/0!</v>
      </c>
      <c r="X115" s="90" t="str">
        <f t="shared" ca="1" si="22"/>
        <v/>
      </c>
      <c r="Y115" s="91" t="str">
        <f t="shared" ca="1" si="23"/>
        <v/>
      </c>
    </row>
    <row r="116" spans="14:25" ht="14.5" x14ac:dyDescent="0.35">
      <c r="N116" s="90" t="e">
        <f t="shared" si="12"/>
        <v>#DIV/0!</v>
      </c>
      <c r="O116" s="90" t="str">
        <f t="shared" ca="1" si="16"/>
        <v/>
      </c>
      <c r="P116" s="91" t="str">
        <f t="shared" ca="1" si="17"/>
        <v/>
      </c>
      <c r="Q116" s="90" t="e">
        <f t="shared" si="13"/>
        <v>#DIV/0!</v>
      </c>
      <c r="R116" s="90" t="str">
        <f t="shared" ca="1" si="18"/>
        <v/>
      </c>
      <c r="S116" s="91" t="str">
        <f t="shared" ca="1" si="19"/>
        <v/>
      </c>
      <c r="T116" s="90" t="e">
        <f t="shared" si="14"/>
        <v>#DIV/0!</v>
      </c>
      <c r="U116" s="90" t="str">
        <f t="shared" ca="1" si="20"/>
        <v/>
      </c>
      <c r="V116" s="91" t="str">
        <f t="shared" ca="1" si="21"/>
        <v/>
      </c>
      <c r="W116" s="90" t="e">
        <f t="shared" si="15"/>
        <v>#DIV/0!</v>
      </c>
      <c r="X116" s="90" t="str">
        <f t="shared" ca="1" si="22"/>
        <v/>
      </c>
      <c r="Y116" s="91" t="str">
        <f t="shared" ca="1" si="23"/>
        <v/>
      </c>
    </row>
    <row r="117" spans="14:25" ht="14.5" x14ac:dyDescent="0.35">
      <c r="N117" s="90" t="e">
        <f t="shared" si="12"/>
        <v>#DIV/0!</v>
      </c>
      <c r="O117" s="90" t="str">
        <f t="shared" ca="1" si="16"/>
        <v/>
      </c>
      <c r="P117" s="91" t="str">
        <f t="shared" ca="1" si="17"/>
        <v/>
      </c>
      <c r="Q117" s="90" t="e">
        <f t="shared" si="13"/>
        <v>#DIV/0!</v>
      </c>
      <c r="R117" s="90" t="str">
        <f t="shared" ca="1" si="18"/>
        <v/>
      </c>
      <c r="S117" s="91" t="str">
        <f t="shared" ca="1" si="19"/>
        <v/>
      </c>
      <c r="T117" s="90" t="e">
        <f t="shared" si="14"/>
        <v>#DIV/0!</v>
      </c>
      <c r="U117" s="90" t="str">
        <f t="shared" ca="1" si="20"/>
        <v/>
      </c>
      <c r="V117" s="91" t="str">
        <f t="shared" ca="1" si="21"/>
        <v/>
      </c>
      <c r="W117" s="90" t="e">
        <f t="shared" si="15"/>
        <v>#DIV/0!</v>
      </c>
      <c r="X117" s="90" t="str">
        <f t="shared" ca="1" si="22"/>
        <v/>
      </c>
      <c r="Y117" s="91" t="str">
        <f t="shared" ca="1" si="23"/>
        <v/>
      </c>
    </row>
    <row r="118" spans="14:25" ht="14.5" x14ac:dyDescent="0.35">
      <c r="N118" s="90" t="e">
        <f>IF(AND(W117&lt;$B$24,W117&lt;$R$14),W117+1,"")</f>
        <v>#DIV/0!</v>
      </c>
      <c r="O118" s="90" t="str">
        <f t="shared" ca="1" si="16"/>
        <v/>
      </c>
      <c r="P118" s="91" t="str">
        <f t="shared" ca="1" si="17"/>
        <v/>
      </c>
      <c r="Q118" s="90" t="e">
        <f>IF(AND(N167&lt;$B$24,N167&lt;$R$14),N167+1,"")</f>
        <v>#DIV/0!</v>
      </c>
      <c r="R118" s="90" t="str">
        <f t="shared" ca="1" si="18"/>
        <v/>
      </c>
      <c r="S118" s="91" t="str">
        <f t="shared" ca="1" si="19"/>
        <v/>
      </c>
      <c r="T118" s="90" t="e">
        <f>IF(AND(Q167&lt;$B$24,Q167&lt;$R$14),Q167+1,"")</f>
        <v>#DIV/0!</v>
      </c>
      <c r="U118" s="90" t="str">
        <f t="shared" ca="1" si="20"/>
        <v/>
      </c>
      <c r="V118" s="91" t="str">
        <f t="shared" ca="1" si="21"/>
        <v/>
      </c>
      <c r="W118" s="90" t="e">
        <f>IF(AND(T167&lt;$B$24,T167&lt;$R$14),T167+1,"")</f>
        <v>#DIV/0!</v>
      </c>
      <c r="X118" s="90" t="str">
        <f t="shared" ca="1" si="22"/>
        <v/>
      </c>
      <c r="Y118" s="91" t="str">
        <f t="shared" ca="1" si="23"/>
        <v/>
      </c>
    </row>
    <row r="119" spans="14:25" ht="14.5" x14ac:dyDescent="0.35">
      <c r="N119" s="90" t="e">
        <f t="shared" ref="N119:N167" si="26">IF(AND(N118&lt;$B$24,N118&lt;$R$14),N118+1,"")</f>
        <v>#DIV/0!</v>
      </c>
      <c r="O119" s="90" t="str">
        <f t="shared" ca="1" si="16"/>
        <v/>
      </c>
      <c r="P119" s="91" t="str">
        <f t="shared" ca="1" si="17"/>
        <v/>
      </c>
      <c r="Q119" s="90" t="e">
        <f t="shared" ref="Q119:Q167" si="27">IF(AND(Q118&lt;$B$24,Q118&lt;$R$14),Q118+1,"")</f>
        <v>#DIV/0!</v>
      </c>
      <c r="R119" s="90" t="str">
        <f t="shared" ca="1" si="18"/>
        <v/>
      </c>
      <c r="S119" s="91" t="str">
        <f t="shared" ca="1" si="19"/>
        <v/>
      </c>
      <c r="T119" s="90" t="e">
        <f t="shared" ref="T119:T167" si="28">IF(AND(T118&lt;$B$24,T118&lt;$R$14),T118+1,"")</f>
        <v>#DIV/0!</v>
      </c>
      <c r="U119" s="90" t="str">
        <f t="shared" ca="1" si="20"/>
        <v/>
      </c>
      <c r="V119" s="91" t="str">
        <f t="shared" ca="1" si="21"/>
        <v/>
      </c>
      <c r="W119" s="90" t="e">
        <f t="shared" ref="W119:W167" si="29">IF(AND(W118&lt;$B$24,W118&lt;$R$14),W118+1,"")</f>
        <v>#DIV/0!</v>
      </c>
      <c r="X119" s="90" t="str">
        <f t="shared" ca="1" si="22"/>
        <v/>
      </c>
      <c r="Y119" s="91" t="str">
        <f t="shared" ca="1" si="23"/>
        <v/>
      </c>
    </row>
    <row r="120" spans="14:25" ht="14.5" x14ac:dyDescent="0.35">
      <c r="N120" s="90" t="e">
        <f t="shared" si="26"/>
        <v>#DIV/0!</v>
      </c>
      <c r="O120" s="90" t="str">
        <f t="shared" ca="1" si="16"/>
        <v/>
      </c>
      <c r="P120" s="91" t="str">
        <f t="shared" ca="1" si="17"/>
        <v/>
      </c>
      <c r="Q120" s="90" t="e">
        <f t="shared" si="27"/>
        <v>#DIV/0!</v>
      </c>
      <c r="R120" s="90" t="str">
        <f t="shared" ca="1" si="18"/>
        <v/>
      </c>
      <c r="S120" s="91" t="str">
        <f t="shared" ca="1" si="19"/>
        <v/>
      </c>
      <c r="T120" s="90" t="e">
        <f t="shared" si="28"/>
        <v>#DIV/0!</v>
      </c>
      <c r="U120" s="90" t="str">
        <f t="shared" ca="1" si="20"/>
        <v/>
      </c>
      <c r="V120" s="91" t="str">
        <f t="shared" ca="1" si="21"/>
        <v/>
      </c>
      <c r="W120" s="90" t="e">
        <f t="shared" si="29"/>
        <v>#DIV/0!</v>
      </c>
      <c r="X120" s="90" t="str">
        <f t="shared" ca="1" si="22"/>
        <v/>
      </c>
      <c r="Y120" s="91" t="str">
        <f t="shared" ca="1" si="23"/>
        <v/>
      </c>
    </row>
    <row r="121" spans="14:25" ht="14.5" x14ac:dyDescent="0.35">
      <c r="N121" s="90" t="e">
        <f t="shared" si="26"/>
        <v>#DIV/0!</v>
      </c>
      <c r="O121" s="90" t="str">
        <f t="shared" ca="1" si="16"/>
        <v/>
      </c>
      <c r="P121" s="91" t="str">
        <f t="shared" ca="1" si="17"/>
        <v/>
      </c>
      <c r="Q121" s="90" t="e">
        <f t="shared" si="27"/>
        <v>#DIV/0!</v>
      </c>
      <c r="R121" s="90" t="str">
        <f t="shared" ca="1" si="18"/>
        <v/>
      </c>
      <c r="S121" s="91" t="str">
        <f t="shared" ca="1" si="19"/>
        <v/>
      </c>
      <c r="T121" s="90" t="e">
        <f t="shared" si="28"/>
        <v>#DIV/0!</v>
      </c>
      <c r="U121" s="90" t="str">
        <f t="shared" ca="1" si="20"/>
        <v/>
      </c>
      <c r="V121" s="91" t="str">
        <f t="shared" ca="1" si="21"/>
        <v/>
      </c>
      <c r="W121" s="90" t="e">
        <f t="shared" si="29"/>
        <v>#DIV/0!</v>
      </c>
      <c r="X121" s="90" t="str">
        <f t="shared" ca="1" si="22"/>
        <v/>
      </c>
      <c r="Y121" s="91" t="str">
        <f t="shared" ca="1" si="23"/>
        <v/>
      </c>
    </row>
    <row r="122" spans="14:25" ht="14.5" x14ac:dyDescent="0.35">
      <c r="N122" s="90" t="e">
        <f t="shared" si="26"/>
        <v>#DIV/0!</v>
      </c>
      <c r="O122" s="90" t="str">
        <f t="shared" ca="1" si="16"/>
        <v/>
      </c>
      <c r="P122" s="91" t="str">
        <f t="shared" ca="1" si="17"/>
        <v/>
      </c>
      <c r="Q122" s="90" t="e">
        <f t="shared" si="27"/>
        <v>#DIV/0!</v>
      </c>
      <c r="R122" s="90" t="str">
        <f t="shared" ca="1" si="18"/>
        <v/>
      </c>
      <c r="S122" s="91" t="str">
        <f t="shared" ca="1" si="19"/>
        <v/>
      </c>
      <c r="T122" s="90" t="e">
        <f t="shared" si="28"/>
        <v>#DIV/0!</v>
      </c>
      <c r="U122" s="90" t="str">
        <f t="shared" ca="1" si="20"/>
        <v/>
      </c>
      <c r="V122" s="91" t="str">
        <f t="shared" ca="1" si="21"/>
        <v/>
      </c>
      <c r="W122" s="90" t="e">
        <f t="shared" si="29"/>
        <v>#DIV/0!</v>
      </c>
      <c r="X122" s="90" t="str">
        <f t="shared" ca="1" si="22"/>
        <v/>
      </c>
      <c r="Y122" s="91" t="str">
        <f t="shared" ca="1" si="23"/>
        <v/>
      </c>
    </row>
    <row r="123" spans="14:25" ht="14.5" x14ac:dyDescent="0.35">
      <c r="N123" s="90" t="e">
        <f t="shared" si="26"/>
        <v>#DIV/0!</v>
      </c>
      <c r="O123" s="90" t="str">
        <f t="shared" ca="1" si="16"/>
        <v/>
      </c>
      <c r="P123" s="91" t="str">
        <f t="shared" ca="1" si="17"/>
        <v/>
      </c>
      <c r="Q123" s="90" t="e">
        <f t="shared" si="27"/>
        <v>#DIV/0!</v>
      </c>
      <c r="R123" s="90" t="str">
        <f t="shared" ca="1" si="18"/>
        <v/>
      </c>
      <c r="S123" s="91" t="str">
        <f t="shared" ca="1" si="19"/>
        <v/>
      </c>
      <c r="T123" s="90" t="e">
        <f t="shared" si="28"/>
        <v>#DIV/0!</v>
      </c>
      <c r="U123" s="90" t="str">
        <f t="shared" ca="1" si="20"/>
        <v/>
      </c>
      <c r="V123" s="91" t="str">
        <f t="shared" ca="1" si="21"/>
        <v/>
      </c>
      <c r="W123" s="90" t="e">
        <f t="shared" si="29"/>
        <v>#DIV/0!</v>
      </c>
      <c r="X123" s="90" t="str">
        <f t="shared" ca="1" si="22"/>
        <v/>
      </c>
      <c r="Y123" s="91" t="str">
        <f t="shared" ca="1" si="23"/>
        <v/>
      </c>
    </row>
    <row r="124" spans="14:25" ht="14.5" x14ac:dyDescent="0.35">
      <c r="N124" s="90" t="e">
        <f t="shared" si="26"/>
        <v>#DIV/0!</v>
      </c>
      <c r="O124" s="90" t="str">
        <f t="shared" ca="1" si="16"/>
        <v/>
      </c>
      <c r="P124" s="91" t="str">
        <f t="shared" ca="1" si="17"/>
        <v/>
      </c>
      <c r="Q124" s="90" t="e">
        <f t="shared" si="27"/>
        <v>#DIV/0!</v>
      </c>
      <c r="R124" s="90" t="str">
        <f t="shared" ca="1" si="18"/>
        <v/>
      </c>
      <c r="S124" s="91" t="str">
        <f t="shared" ca="1" si="19"/>
        <v/>
      </c>
      <c r="T124" s="90" t="e">
        <f t="shared" si="28"/>
        <v>#DIV/0!</v>
      </c>
      <c r="U124" s="90" t="str">
        <f t="shared" ca="1" si="20"/>
        <v/>
      </c>
      <c r="V124" s="91" t="str">
        <f t="shared" ca="1" si="21"/>
        <v/>
      </c>
      <c r="W124" s="90" t="e">
        <f t="shared" si="29"/>
        <v>#DIV/0!</v>
      </c>
      <c r="X124" s="90" t="str">
        <f t="shared" ca="1" si="22"/>
        <v/>
      </c>
      <c r="Y124" s="91" t="str">
        <f t="shared" ca="1" si="23"/>
        <v/>
      </c>
    </row>
    <row r="125" spans="14:25" ht="14.5" x14ac:dyDescent="0.35">
      <c r="N125" s="90" t="e">
        <f t="shared" si="26"/>
        <v>#DIV/0!</v>
      </c>
      <c r="O125" s="90" t="str">
        <f t="shared" ca="1" si="16"/>
        <v/>
      </c>
      <c r="P125" s="91" t="str">
        <f t="shared" ca="1" si="17"/>
        <v/>
      </c>
      <c r="Q125" s="90" t="e">
        <f t="shared" si="27"/>
        <v>#DIV/0!</v>
      </c>
      <c r="R125" s="90" t="str">
        <f t="shared" ca="1" si="18"/>
        <v/>
      </c>
      <c r="S125" s="91" t="str">
        <f t="shared" ca="1" si="19"/>
        <v/>
      </c>
      <c r="T125" s="90" t="e">
        <f t="shared" si="28"/>
        <v>#DIV/0!</v>
      </c>
      <c r="U125" s="90" t="str">
        <f t="shared" ca="1" si="20"/>
        <v/>
      </c>
      <c r="V125" s="91" t="str">
        <f t="shared" ca="1" si="21"/>
        <v/>
      </c>
      <c r="W125" s="90" t="e">
        <f t="shared" si="29"/>
        <v>#DIV/0!</v>
      </c>
      <c r="X125" s="90" t="str">
        <f t="shared" ca="1" si="22"/>
        <v/>
      </c>
      <c r="Y125" s="91" t="str">
        <f t="shared" ca="1" si="23"/>
        <v/>
      </c>
    </row>
    <row r="126" spans="14:25" ht="14.5" x14ac:dyDescent="0.35">
      <c r="N126" s="90" t="e">
        <f t="shared" si="26"/>
        <v>#DIV/0!</v>
      </c>
      <c r="O126" s="90" t="str">
        <f t="shared" ca="1" si="16"/>
        <v/>
      </c>
      <c r="P126" s="91" t="str">
        <f t="shared" ca="1" si="17"/>
        <v/>
      </c>
      <c r="Q126" s="90" t="e">
        <f t="shared" si="27"/>
        <v>#DIV/0!</v>
      </c>
      <c r="R126" s="90" t="str">
        <f t="shared" ca="1" si="18"/>
        <v/>
      </c>
      <c r="S126" s="91" t="str">
        <f t="shared" ca="1" si="19"/>
        <v/>
      </c>
      <c r="T126" s="90" t="e">
        <f t="shared" si="28"/>
        <v>#DIV/0!</v>
      </c>
      <c r="U126" s="90" t="str">
        <f t="shared" ca="1" si="20"/>
        <v/>
      </c>
      <c r="V126" s="91" t="str">
        <f t="shared" ca="1" si="21"/>
        <v/>
      </c>
      <c r="W126" s="90" t="e">
        <f t="shared" si="29"/>
        <v>#DIV/0!</v>
      </c>
      <c r="X126" s="90" t="str">
        <f t="shared" ca="1" si="22"/>
        <v/>
      </c>
      <c r="Y126" s="91" t="str">
        <f t="shared" ca="1" si="23"/>
        <v/>
      </c>
    </row>
    <row r="127" spans="14:25" ht="14.5" x14ac:dyDescent="0.35">
      <c r="N127" s="90" t="e">
        <f t="shared" si="26"/>
        <v>#DIV/0!</v>
      </c>
      <c r="O127" s="90" t="str">
        <f t="shared" ca="1" si="16"/>
        <v/>
      </c>
      <c r="P127" s="91" t="str">
        <f t="shared" ca="1" si="17"/>
        <v/>
      </c>
      <c r="Q127" s="90" t="e">
        <f t="shared" si="27"/>
        <v>#DIV/0!</v>
      </c>
      <c r="R127" s="90" t="str">
        <f t="shared" ca="1" si="18"/>
        <v/>
      </c>
      <c r="S127" s="91" t="str">
        <f t="shared" ca="1" si="19"/>
        <v/>
      </c>
      <c r="T127" s="90" t="e">
        <f t="shared" si="28"/>
        <v>#DIV/0!</v>
      </c>
      <c r="U127" s="90" t="str">
        <f t="shared" ca="1" si="20"/>
        <v/>
      </c>
      <c r="V127" s="91" t="str">
        <f t="shared" ca="1" si="21"/>
        <v/>
      </c>
      <c r="W127" s="90" t="e">
        <f t="shared" si="29"/>
        <v>#DIV/0!</v>
      </c>
      <c r="X127" s="90" t="str">
        <f t="shared" ca="1" si="22"/>
        <v/>
      </c>
      <c r="Y127" s="91" t="str">
        <f t="shared" ca="1" si="23"/>
        <v/>
      </c>
    </row>
    <row r="128" spans="14:25" ht="14.5" x14ac:dyDescent="0.35">
      <c r="N128" s="90" t="e">
        <f t="shared" si="26"/>
        <v>#DIV/0!</v>
      </c>
      <c r="O128" s="90" t="str">
        <f t="shared" ca="1" si="16"/>
        <v/>
      </c>
      <c r="P128" s="91" t="str">
        <f t="shared" ca="1" si="17"/>
        <v/>
      </c>
      <c r="Q128" s="90" t="e">
        <f t="shared" si="27"/>
        <v>#DIV/0!</v>
      </c>
      <c r="R128" s="90" t="str">
        <f t="shared" ca="1" si="18"/>
        <v/>
      </c>
      <c r="S128" s="91" t="str">
        <f t="shared" ca="1" si="19"/>
        <v/>
      </c>
      <c r="T128" s="90" t="e">
        <f t="shared" si="28"/>
        <v>#DIV/0!</v>
      </c>
      <c r="U128" s="90" t="str">
        <f t="shared" ca="1" si="20"/>
        <v/>
      </c>
      <c r="V128" s="91" t="str">
        <f t="shared" ca="1" si="21"/>
        <v/>
      </c>
      <c r="W128" s="90" t="e">
        <f t="shared" si="29"/>
        <v>#DIV/0!</v>
      </c>
      <c r="X128" s="90" t="str">
        <f t="shared" ca="1" si="22"/>
        <v/>
      </c>
      <c r="Y128" s="91" t="str">
        <f t="shared" ca="1" si="23"/>
        <v/>
      </c>
    </row>
    <row r="129" spans="14:25" ht="14.5" x14ac:dyDescent="0.35">
      <c r="N129" s="90" t="e">
        <f t="shared" si="26"/>
        <v>#DIV/0!</v>
      </c>
      <c r="O129" s="90" t="str">
        <f t="shared" ca="1" si="16"/>
        <v/>
      </c>
      <c r="P129" s="91" t="str">
        <f t="shared" ca="1" si="17"/>
        <v/>
      </c>
      <c r="Q129" s="90" t="e">
        <f t="shared" si="27"/>
        <v>#DIV/0!</v>
      </c>
      <c r="R129" s="90" t="str">
        <f t="shared" ca="1" si="18"/>
        <v/>
      </c>
      <c r="S129" s="91" t="str">
        <f t="shared" ca="1" si="19"/>
        <v/>
      </c>
      <c r="T129" s="90" t="e">
        <f t="shared" si="28"/>
        <v>#DIV/0!</v>
      </c>
      <c r="U129" s="90" t="str">
        <f t="shared" ca="1" si="20"/>
        <v/>
      </c>
      <c r="V129" s="91" t="str">
        <f t="shared" ca="1" si="21"/>
        <v/>
      </c>
      <c r="W129" s="90" t="e">
        <f t="shared" si="29"/>
        <v>#DIV/0!</v>
      </c>
      <c r="X129" s="90" t="str">
        <f t="shared" ca="1" si="22"/>
        <v/>
      </c>
      <c r="Y129" s="91" t="str">
        <f t="shared" ca="1" si="23"/>
        <v/>
      </c>
    </row>
    <row r="130" spans="14:25" ht="14.5" x14ac:dyDescent="0.35">
      <c r="N130" s="90" t="e">
        <f t="shared" si="26"/>
        <v>#DIV/0!</v>
      </c>
      <c r="O130" s="90" t="str">
        <f t="shared" ca="1" si="16"/>
        <v/>
      </c>
      <c r="P130" s="91" t="str">
        <f t="shared" ca="1" si="17"/>
        <v/>
      </c>
      <c r="Q130" s="90" t="e">
        <f t="shared" si="27"/>
        <v>#DIV/0!</v>
      </c>
      <c r="R130" s="90" t="str">
        <f t="shared" ca="1" si="18"/>
        <v/>
      </c>
      <c r="S130" s="91" t="str">
        <f t="shared" ca="1" si="19"/>
        <v/>
      </c>
      <c r="T130" s="90" t="e">
        <f t="shared" si="28"/>
        <v>#DIV/0!</v>
      </c>
      <c r="U130" s="90" t="str">
        <f t="shared" ca="1" si="20"/>
        <v/>
      </c>
      <c r="V130" s="91" t="str">
        <f t="shared" ca="1" si="21"/>
        <v/>
      </c>
      <c r="W130" s="90" t="e">
        <f t="shared" si="29"/>
        <v>#DIV/0!</v>
      </c>
      <c r="X130" s="90" t="str">
        <f t="shared" ca="1" si="22"/>
        <v/>
      </c>
      <c r="Y130" s="91" t="str">
        <f t="shared" ca="1" si="23"/>
        <v/>
      </c>
    </row>
    <row r="131" spans="14:25" ht="14.5" x14ac:dyDescent="0.35">
      <c r="N131" s="90" t="e">
        <f t="shared" si="26"/>
        <v>#DIV/0!</v>
      </c>
      <c r="O131" s="90" t="str">
        <f t="shared" ca="1" si="16"/>
        <v/>
      </c>
      <c r="P131" s="91" t="str">
        <f t="shared" ca="1" si="17"/>
        <v/>
      </c>
      <c r="Q131" s="90" t="e">
        <f t="shared" si="27"/>
        <v>#DIV/0!</v>
      </c>
      <c r="R131" s="90" t="str">
        <f t="shared" ca="1" si="18"/>
        <v/>
      </c>
      <c r="S131" s="91" t="str">
        <f t="shared" ca="1" si="19"/>
        <v/>
      </c>
      <c r="T131" s="90" t="e">
        <f t="shared" si="28"/>
        <v>#DIV/0!</v>
      </c>
      <c r="U131" s="90" t="str">
        <f t="shared" ca="1" si="20"/>
        <v/>
      </c>
      <c r="V131" s="91" t="str">
        <f t="shared" ca="1" si="21"/>
        <v/>
      </c>
      <c r="W131" s="90" t="e">
        <f t="shared" si="29"/>
        <v>#DIV/0!</v>
      </c>
      <c r="X131" s="90" t="str">
        <f t="shared" ca="1" si="22"/>
        <v/>
      </c>
      <c r="Y131" s="91" t="str">
        <f t="shared" ca="1" si="23"/>
        <v/>
      </c>
    </row>
    <row r="132" spans="14:25" ht="14.5" x14ac:dyDescent="0.35">
      <c r="N132" s="90" t="e">
        <f t="shared" si="26"/>
        <v>#DIV/0!</v>
      </c>
      <c r="O132" s="90" t="str">
        <f t="shared" ca="1" si="16"/>
        <v/>
      </c>
      <c r="P132" s="91" t="str">
        <f t="shared" ca="1" si="17"/>
        <v/>
      </c>
      <c r="Q132" s="90" t="e">
        <f t="shared" si="27"/>
        <v>#DIV/0!</v>
      </c>
      <c r="R132" s="90" t="str">
        <f t="shared" ca="1" si="18"/>
        <v/>
      </c>
      <c r="S132" s="91" t="str">
        <f t="shared" ca="1" si="19"/>
        <v/>
      </c>
      <c r="T132" s="90" t="e">
        <f t="shared" si="28"/>
        <v>#DIV/0!</v>
      </c>
      <c r="U132" s="90" t="str">
        <f t="shared" ca="1" si="20"/>
        <v/>
      </c>
      <c r="V132" s="91" t="str">
        <f t="shared" ca="1" si="21"/>
        <v/>
      </c>
      <c r="W132" s="90" t="e">
        <f t="shared" si="29"/>
        <v>#DIV/0!</v>
      </c>
      <c r="X132" s="90" t="str">
        <f t="shared" ca="1" si="22"/>
        <v/>
      </c>
      <c r="Y132" s="91" t="str">
        <f t="shared" ca="1" si="23"/>
        <v/>
      </c>
    </row>
    <row r="133" spans="14:25" ht="14.5" x14ac:dyDescent="0.35">
      <c r="N133" s="90" t="e">
        <f t="shared" si="26"/>
        <v>#DIV/0!</v>
      </c>
      <c r="O133" s="90" t="str">
        <f t="shared" ca="1" si="16"/>
        <v/>
      </c>
      <c r="P133" s="91" t="str">
        <f t="shared" ca="1" si="17"/>
        <v/>
      </c>
      <c r="Q133" s="90" t="e">
        <f t="shared" si="27"/>
        <v>#DIV/0!</v>
      </c>
      <c r="R133" s="90" t="str">
        <f t="shared" ca="1" si="18"/>
        <v/>
      </c>
      <c r="S133" s="91" t="str">
        <f t="shared" ca="1" si="19"/>
        <v/>
      </c>
      <c r="T133" s="90" t="e">
        <f t="shared" si="28"/>
        <v>#DIV/0!</v>
      </c>
      <c r="U133" s="90" t="str">
        <f t="shared" ca="1" si="20"/>
        <v/>
      </c>
      <c r="V133" s="91" t="str">
        <f t="shared" ca="1" si="21"/>
        <v/>
      </c>
      <c r="W133" s="90" t="e">
        <f t="shared" si="29"/>
        <v>#DIV/0!</v>
      </c>
      <c r="X133" s="90" t="str">
        <f t="shared" ca="1" si="22"/>
        <v/>
      </c>
      <c r="Y133" s="91" t="str">
        <f t="shared" ca="1" si="23"/>
        <v/>
      </c>
    </row>
    <row r="134" spans="14:25" ht="14.5" x14ac:dyDescent="0.35">
      <c r="N134" s="90" t="e">
        <f t="shared" si="26"/>
        <v>#DIV/0!</v>
      </c>
      <c r="O134" s="90" t="str">
        <f t="shared" ca="1" si="16"/>
        <v/>
      </c>
      <c r="P134" s="91" t="str">
        <f t="shared" ca="1" si="17"/>
        <v/>
      </c>
      <c r="Q134" s="90" t="e">
        <f t="shared" si="27"/>
        <v>#DIV/0!</v>
      </c>
      <c r="R134" s="90" t="str">
        <f t="shared" ca="1" si="18"/>
        <v/>
      </c>
      <c r="S134" s="91" t="str">
        <f t="shared" ca="1" si="19"/>
        <v/>
      </c>
      <c r="T134" s="90" t="e">
        <f t="shared" si="28"/>
        <v>#DIV/0!</v>
      </c>
      <c r="U134" s="90" t="str">
        <f t="shared" ca="1" si="20"/>
        <v/>
      </c>
      <c r="V134" s="91" t="str">
        <f t="shared" ca="1" si="21"/>
        <v/>
      </c>
      <c r="W134" s="90" t="e">
        <f t="shared" si="29"/>
        <v>#DIV/0!</v>
      </c>
      <c r="X134" s="90" t="str">
        <f t="shared" ca="1" si="22"/>
        <v/>
      </c>
      <c r="Y134" s="91" t="str">
        <f t="shared" ca="1" si="23"/>
        <v/>
      </c>
    </row>
    <row r="135" spans="14:25" ht="14.5" x14ac:dyDescent="0.35">
      <c r="N135" s="90" t="e">
        <f t="shared" si="26"/>
        <v>#DIV/0!</v>
      </c>
      <c r="O135" s="90" t="str">
        <f t="shared" ca="1" si="16"/>
        <v/>
      </c>
      <c r="P135" s="91" t="str">
        <f t="shared" ca="1" si="17"/>
        <v/>
      </c>
      <c r="Q135" s="90" t="e">
        <f t="shared" si="27"/>
        <v>#DIV/0!</v>
      </c>
      <c r="R135" s="90" t="str">
        <f t="shared" ca="1" si="18"/>
        <v/>
      </c>
      <c r="S135" s="91" t="str">
        <f t="shared" ca="1" si="19"/>
        <v/>
      </c>
      <c r="T135" s="90" t="e">
        <f t="shared" si="28"/>
        <v>#DIV/0!</v>
      </c>
      <c r="U135" s="90" t="str">
        <f t="shared" ca="1" si="20"/>
        <v/>
      </c>
      <c r="V135" s="91" t="str">
        <f t="shared" ca="1" si="21"/>
        <v/>
      </c>
      <c r="W135" s="90" t="e">
        <f t="shared" si="29"/>
        <v>#DIV/0!</v>
      </c>
      <c r="X135" s="90" t="str">
        <f t="shared" ca="1" si="22"/>
        <v/>
      </c>
      <c r="Y135" s="91" t="str">
        <f t="shared" ca="1" si="23"/>
        <v/>
      </c>
    </row>
    <row r="136" spans="14:25" ht="14.5" x14ac:dyDescent="0.35">
      <c r="N136" s="90" t="e">
        <f t="shared" si="26"/>
        <v>#DIV/0!</v>
      </c>
      <c r="O136" s="90" t="str">
        <f t="shared" ca="1" si="16"/>
        <v/>
      </c>
      <c r="P136" s="91" t="str">
        <f t="shared" ca="1" si="17"/>
        <v/>
      </c>
      <c r="Q136" s="90" t="e">
        <f t="shared" si="27"/>
        <v>#DIV/0!</v>
      </c>
      <c r="R136" s="90" t="str">
        <f t="shared" ca="1" si="18"/>
        <v/>
      </c>
      <c r="S136" s="91" t="str">
        <f t="shared" ca="1" si="19"/>
        <v/>
      </c>
      <c r="T136" s="90" t="e">
        <f t="shared" si="28"/>
        <v>#DIV/0!</v>
      </c>
      <c r="U136" s="90" t="str">
        <f t="shared" ca="1" si="20"/>
        <v/>
      </c>
      <c r="V136" s="91" t="str">
        <f t="shared" ca="1" si="21"/>
        <v/>
      </c>
      <c r="W136" s="90" t="e">
        <f t="shared" si="29"/>
        <v>#DIV/0!</v>
      </c>
      <c r="X136" s="90" t="str">
        <f t="shared" ca="1" si="22"/>
        <v/>
      </c>
      <c r="Y136" s="91" t="str">
        <f t="shared" ca="1" si="23"/>
        <v/>
      </c>
    </row>
    <row r="137" spans="14:25" ht="14.5" x14ac:dyDescent="0.35">
      <c r="N137" s="90" t="e">
        <f t="shared" si="26"/>
        <v>#DIV/0!</v>
      </c>
      <c r="O137" s="90" t="str">
        <f t="shared" ca="1" si="16"/>
        <v/>
      </c>
      <c r="P137" s="91" t="str">
        <f t="shared" ca="1" si="17"/>
        <v/>
      </c>
      <c r="Q137" s="90" t="e">
        <f t="shared" si="27"/>
        <v>#DIV/0!</v>
      </c>
      <c r="R137" s="90" t="str">
        <f t="shared" ca="1" si="18"/>
        <v/>
      </c>
      <c r="S137" s="91" t="str">
        <f t="shared" ca="1" si="19"/>
        <v/>
      </c>
      <c r="T137" s="90" t="e">
        <f t="shared" si="28"/>
        <v>#DIV/0!</v>
      </c>
      <c r="U137" s="90" t="str">
        <f t="shared" ca="1" si="20"/>
        <v/>
      </c>
      <c r="V137" s="91" t="str">
        <f t="shared" ca="1" si="21"/>
        <v/>
      </c>
      <c r="W137" s="90" t="e">
        <f t="shared" si="29"/>
        <v>#DIV/0!</v>
      </c>
      <c r="X137" s="90" t="str">
        <f t="shared" ca="1" si="22"/>
        <v/>
      </c>
      <c r="Y137" s="91" t="str">
        <f t="shared" ca="1" si="23"/>
        <v/>
      </c>
    </row>
    <row r="138" spans="14:25" ht="14.5" x14ac:dyDescent="0.35">
      <c r="N138" s="90" t="e">
        <f t="shared" si="26"/>
        <v>#DIV/0!</v>
      </c>
      <c r="O138" s="90" t="str">
        <f t="shared" ca="1" si="16"/>
        <v/>
      </c>
      <c r="P138" s="91" t="str">
        <f t="shared" ca="1" si="17"/>
        <v/>
      </c>
      <c r="Q138" s="90" t="e">
        <f t="shared" si="27"/>
        <v>#DIV/0!</v>
      </c>
      <c r="R138" s="90" t="str">
        <f t="shared" ca="1" si="18"/>
        <v/>
      </c>
      <c r="S138" s="91" t="str">
        <f t="shared" ca="1" si="19"/>
        <v/>
      </c>
      <c r="T138" s="90" t="e">
        <f t="shared" si="28"/>
        <v>#DIV/0!</v>
      </c>
      <c r="U138" s="90" t="str">
        <f t="shared" ca="1" si="20"/>
        <v/>
      </c>
      <c r="V138" s="91" t="str">
        <f t="shared" ca="1" si="21"/>
        <v/>
      </c>
      <c r="W138" s="90" t="e">
        <f t="shared" si="29"/>
        <v>#DIV/0!</v>
      </c>
      <c r="X138" s="90" t="str">
        <f t="shared" ca="1" si="22"/>
        <v/>
      </c>
      <c r="Y138" s="91" t="str">
        <f t="shared" ca="1" si="23"/>
        <v/>
      </c>
    </row>
    <row r="139" spans="14:25" ht="14.5" x14ac:dyDescent="0.35">
      <c r="N139" s="90" t="e">
        <f t="shared" si="26"/>
        <v>#DIV/0!</v>
      </c>
      <c r="O139" s="90" t="str">
        <f t="shared" ca="1" si="16"/>
        <v/>
      </c>
      <c r="P139" s="91" t="str">
        <f t="shared" ca="1" si="17"/>
        <v/>
      </c>
      <c r="Q139" s="90" t="e">
        <f t="shared" si="27"/>
        <v>#DIV/0!</v>
      </c>
      <c r="R139" s="90" t="str">
        <f t="shared" ca="1" si="18"/>
        <v/>
      </c>
      <c r="S139" s="91" t="str">
        <f t="shared" ca="1" si="19"/>
        <v/>
      </c>
      <c r="T139" s="90" t="e">
        <f t="shared" si="28"/>
        <v>#DIV/0!</v>
      </c>
      <c r="U139" s="90" t="str">
        <f t="shared" ca="1" si="20"/>
        <v/>
      </c>
      <c r="V139" s="91" t="str">
        <f t="shared" ca="1" si="21"/>
        <v/>
      </c>
      <c r="W139" s="90" t="e">
        <f t="shared" si="29"/>
        <v>#DIV/0!</v>
      </c>
      <c r="X139" s="90" t="str">
        <f t="shared" ca="1" si="22"/>
        <v/>
      </c>
      <c r="Y139" s="91" t="str">
        <f t="shared" ca="1" si="23"/>
        <v/>
      </c>
    </row>
    <row r="140" spans="14:25" ht="14.5" x14ac:dyDescent="0.35">
      <c r="N140" s="90" t="e">
        <f t="shared" si="26"/>
        <v>#DIV/0!</v>
      </c>
      <c r="O140" s="90" t="str">
        <f t="shared" ca="1" si="16"/>
        <v/>
      </c>
      <c r="P140" s="91" t="str">
        <f t="shared" ca="1" si="17"/>
        <v/>
      </c>
      <c r="Q140" s="90" t="e">
        <f t="shared" si="27"/>
        <v>#DIV/0!</v>
      </c>
      <c r="R140" s="90" t="str">
        <f t="shared" ca="1" si="18"/>
        <v/>
      </c>
      <c r="S140" s="91" t="str">
        <f t="shared" ca="1" si="19"/>
        <v/>
      </c>
      <c r="T140" s="90" t="e">
        <f t="shared" si="28"/>
        <v>#DIV/0!</v>
      </c>
      <c r="U140" s="90" t="str">
        <f t="shared" ca="1" si="20"/>
        <v/>
      </c>
      <c r="V140" s="91" t="str">
        <f t="shared" ca="1" si="21"/>
        <v/>
      </c>
      <c r="W140" s="90" t="e">
        <f t="shared" si="29"/>
        <v>#DIV/0!</v>
      </c>
      <c r="X140" s="90" t="str">
        <f t="shared" ca="1" si="22"/>
        <v/>
      </c>
      <c r="Y140" s="91" t="str">
        <f t="shared" ca="1" si="23"/>
        <v/>
      </c>
    </row>
    <row r="141" spans="14:25" ht="14.5" x14ac:dyDescent="0.35">
      <c r="N141" s="90" t="e">
        <f t="shared" si="26"/>
        <v>#DIV/0!</v>
      </c>
      <c r="O141" s="90" t="str">
        <f t="shared" ca="1" si="16"/>
        <v/>
      </c>
      <c r="P141" s="91" t="str">
        <f t="shared" ca="1" si="17"/>
        <v/>
      </c>
      <c r="Q141" s="90" t="e">
        <f t="shared" si="27"/>
        <v>#DIV/0!</v>
      </c>
      <c r="R141" s="90" t="str">
        <f t="shared" ca="1" si="18"/>
        <v/>
      </c>
      <c r="S141" s="91" t="str">
        <f t="shared" ca="1" si="19"/>
        <v/>
      </c>
      <c r="T141" s="90" t="e">
        <f t="shared" si="28"/>
        <v>#DIV/0!</v>
      </c>
      <c r="U141" s="90" t="str">
        <f t="shared" ca="1" si="20"/>
        <v/>
      </c>
      <c r="V141" s="91" t="str">
        <f t="shared" ca="1" si="21"/>
        <v/>
      </c>
      <c r="W141" s="90" t="e">
        <f t="shared" si="29"/>
        <v>#DIV/0!</v>
      </c>
      <c r="X141" s="90" t="str">
        <f t="shared" ca="1" si="22"/>
        <v/>
      </c>
      <c r="Y141" s="91" t="str">
        <f t="shared" ca="1" si="23"/>
        <v/>
      </c>
    </row>
    <row r="142" spans="14:25" ht="14.5" x14ac:dyDescent="0.35">
      <c r="N142" s="90" t="e">
        <f t="shared" si="26"/>
        <v>#DIV/0!</v>
      </c>
      <c r="O142" s="90" t="str">
        <f t="shared" ca="1" si="16"/>
        <v/>
      </c>
      <c r="P142" s="91" t="str">
        <f t="shared" ca="1" si="17"/>
        <v/>
      </c>
      <c r="Q142" s="90" t="e">
        <f t="shared" si="27"/>
        <v>#DIV/0!</v>
      </c>
      <c r="R142" s="90" t="str">
        <f t="shared" ca="1" si="18"/>
        <v/>
      </c>
      <c r="S142" s="91" t="str">
        <f t="shared" ca="1" si="19"/>
        <v/>
      </c>
      <c r="T142" s="90" t="e">
        <f t="shared" si="28"/>
        <v>#DIV/0!</v>
      </c>
      <c r="U142" s="90" t="str">
        <f t="shared" ca="1" si="20"/>
        <v/>
      </c>
      <c r="V142" s="91" t="str">
        <f t="shared" ca="1" si="21"/>
        <v/>
      </c>
      <c r="W142" s="90" t="e">
        <f t="shared" si="29"/>
        <v>#DIV/0!</v>
      </c>
      <c r="X142" s="90" t="str">
        <f t="shared" ca="1" si="22"/>
        <v/>
      </c>
      <c r="Y142" s="91" t="str">
        <f t="shared" ca="1" si="23"/>
        <v/>
      </c>
    </row>
    <row r="143" spans="14:25" ht="14.5" x14ac:dyDescent="0.35">
      <c r="N143" s="90" t="e">
        <f t="shared" si="26"/>
        <v>#DIV/0!</v>
      </c>
      <c r="O143" s="90" t="str">
        <f t="shared" ca="1" si="16"/>
        <v/>
      </c>
      <c r="P143" s="91" t="str">
        <f t="shared" ca="1" si="17"/>
        <v/>
      </c>
      <c r="Q143" s="90" t="e">
        <f t="shared" si="27"/>
        <v>#DIV/0!</v>
      </c>
      <c r="R143" s="90" t="str">
        <f t="shared" ca="1" si="18"/>
        <v/>
      </c>
      <c r="S143" s="91" t="str">
        <f t="shared" ca="1" si="19"/>
        <v/>
      </c>
      <c r="T143" s="90" t="e">
        <f t="shared" si="28"/>
        <v>#DIV/0!</v>
      </c>
      <c r="U143" s="90" t="str">
        <f t="shared" ca="1" si="20"/>
        <v/>
      </c>
      <c r="V143" s="91" t="str">
        <f t="shared" ca="1" si="21"/>
        <v/>
      </c>
      <c r="W143" s="90" t="e">
        <f t="shared" si="29"/>
        <v>#DIV/0!</v>
      </c>
      <c r="X143" s="90" t="str">
        <f t="shared" ca="1" si="22"/>
        <v/>
      </c>
      <c r="Y143" s="91" t="str">
        <f t="shared" ca="1" si="23"/>
        <v/>
      </c>
    </row>
    <row r="144" spans="14:25" ht="14.5" x14ac:dyDescent="0.35">
      <c r="N144" s="90" t="e">
        <f t="shared" si="26"/>
        <v>#DIV/0!</v>
      </c>
      <c r="O144" s="90" t="str">
        <f t="shared" ca="1" si="16"/>
        <v/>
      </c>
      <c r="P144" s="91" t="str">
        <f t="shared" ca="1" si="17"/>
        <v/>
      </c>
      <c r="Q144" s="90" t="e">
        <f t="shared" si="27"/>
        <v>#DIV/0!</v>
      </c>
      <c r="R144" s="90" t="str">
        <f t="shared" ca="1" si="18"/>
        <v/>
      </c>
      <c r="S144" s="91" t="str">
        <f t="shared" ca="1" si="19"/>
        <v/>
      </c>
      <c r="T144" s="90" t="e">
        <f t="shared" si="28"/>
        <v>#DIV/0!</v>
      </c>
      <c r="U144" s="90" t="str">
        <f t="shared" ca="1" si="20"/>
        <v/>
      </c>
      <c r="V144" s="91" t="str">
        <f t="shared" ca="1" si="21"/>
        <v/>
      </c>
      <c r="W144" s="90" t="e">
        <f t="shared" si="29"/>
        <v>#DIV/0!</v>
      </c>
      <c r="X144" s="90" t="str">
        <f t="shared" ca="1" si="22"/>
        <v/>
      </c>
      <c r="Y144" s="91" t="str">
        <f t="shared" ca="1" si="23"/>
        <v/>
      </c>
    </row>
    <row r="145" spans="14:25" ht="14.5" x14ac:dyDescent="0.35">
      <c r="N145" s="90" t="e">
        <f t="shared" si="26"/>
        <v>#DIV/0!</v>
      </c>
      <c r="O145" s="90" t="str">
        <f t="shared" ca="1" si="16"/>
        <v/>
      </c>
      <c r="P145" s="91" t="str">
        <f t="shared" ca="1" si="17"/>
        <v/>
      </c>
      <c r="Q145" s="90" t="e">
        <f t="shared" si="27"/>
        <v>#DIV/0!</v>
      </c>
      <c r="R145" s="90" t="str">
        <f t="shared" ca="1" si="18"/>
        <v/>
      </c>
      <c r="S145" s="91" t="str">
        <f t="shared" ca="1" si="19"/>
        <v/>
      </c>
      <c r="T145" s="90" t="e">
        <f t="shared" si="28"/>
        <v>#DIV/0!</v>
      </c>
      <c r="U145" s="90" t="str">
        <f t="shared" ca="1" si="20"/>
        <v/>
      </c>
      <c r="V145" s="91" t="str">
        <f t="shared" ca="1" si="21"/>
        <v/>
      </c>
      <c r="W145" s="90" t="e">
        <f t="shared" si="29"/>
        <v>#DIV/0!</v>
      </c>
      <c r="X145" s="90" t="str">
        <f t="shared" ca="1" si="22"/>
        <v/>
      </c>
      <c r="Y145" s="91" t="str">
        <f t="shared" ca="1" si="23"/>
        <v/>
      </c>
    </row>
    <row r="146" spans="14:25" ht="14.5" x14ac:dyDescent="0.35">
      <c r="N146" s="90" t="e">
        <f t="shared" si="26"/>
        <v>#DIV/0!</v>
      </c>
      <c r="O146" s="90" t="str">
        <f t="shared" ref="O146:O209" ca="1" si="30">IF(ISNUMBER(N146),RANDBETWEEN(1,$R$14),"")</f>
        <v/>
      </c>
      <c r="P146" s="91" t="str">
        <f t="shared" ref="P146:P209" ca="1" si="31">IF(O146="","",COUNTIF($O$18:$O$417,O146)+COUNTIF($R$18:$R$417,O146)+COUNTIF($U$18:$U$417,O146)+COUNTIF($X$18:$X$417,O146))</f>
        <v/>
      </c>
      <c r="Q146" s="90" t="e">
        <f t="shared" si="27"/>
        <v>#DIV/0!</v>
      </c>
      <c r="R146" s="90" t="str">
        <f t="shared" ref="R146:R209" ca="1" si="32">IF(ISNUMBER(Q146),RANDBETWEEN(1,$R$14),"")</f>
        <v/>
      </c>
      <c r="S146" s="91" t="str">
        <f t="shared" ref="S146:S209" ca="1" si="33">IF(R146="","",COUNTIF($O$18:$O$417,R146)+COUNTIF($R$18:$R$417,R146)+COUNTIF($U$18:$U$417,R146)+COUNTIF($X$18:$X$417,R146))</f>
        <v/>
      </c>
      <c r="T146" s="90" t="e">
        <f t="shared" si="28"/>
        <v>#DIV/0!</v>
      </c>
      <c r="U146" s="90" t="str">
        <f t="shared" ref="U146:U209" ca="1" si="34">IF(ISNUMBER(T146),RANDBETWEEN(1,$R$14),"")</f>
        <v/>
      </c>
      <c r="V146" s="91" t="str">
        <f t="shared" ref="V146:V209" ca="1" si="35">IF(U146="","",COUNTIF($O$18:$O$417,U146)+COUNTIF($R$18:$R$417,U146)+COUNTIF($U$18:$U$417,U146)+COUNTIF($X$18:$X$417,U146))</f>
        <v/>
      </c>
      <c r="W146" s="90" t="e">
        <f t="shared" si="29"/>
        <v>#DIV/0!</v>
      </c>
      <c r="X146" s="90" t="str">
        <f t="shared" ref="X146:X209" ca="1" si="36">IF(ISNUMBER(W146),RANDBETWEEN(1,$R$14),"")</f>
        <v/>
      </c>
      <c r="Y146" s="91" t="str">
        <f t="shared" ref="Y146:Y209" ca="1" si="37">IF(X146="","",COUNTIF($O$18:$O$417,X146)+COUNTIF($R$18:$R$417,X146)+COUNTIF($U$18:$U$417,X146)+COUNTIF($X$18:$X$417,X146))</f>
        <v/>
      </c>
    </row>
    <row r="147" spans="14:25" ht="14.5" x14ac:dyDescent="0.35">
      <c r="N147" s="90" t="e">
        <f t="shared" si="26"/>
        <v>#DIV/0!</v>
      </c>
      <c r="O147" s="90" t="str">
        <f t="shared" ca="1" si="30"/>
        <v/>
      </c>
      <c r="P147" s="91" t="str">
        <f t="shared" ca="1" si="31"/>
        <v/>
      </c>
      <c r="Q147" s="90" t="e">
        <f t="shared" si="27"/>
        <v>#DIV/0!</v>
      </c>
      <c r="R147" s="90" t="str">
        <f t="shared" ca="1" si="32"/>
        <v/>
      </c>
      <c r="S147" s="91" t="str">
        <f t="shared" ca="1" si="33"/>
        <v/>
      </c>
      <c r="T147" s="90" t="e">
        <f t="shared" si="28"/>
        <v>#DIV/0!</v>
      </c>
      <c r="U147" s="90" t="str">
        <f t="shared" ca="1" si="34"/>
        <v/>
      </c>
      <c r="V147" s="91" t="str">
        <f t="shared" ca="1" si="35"/>
        <v/>
      </c>
      <c r="W147" s="90" t="e">
        <f t="shared" si="29"/>
        <v>#DIV/0!</v>
      </c>
      <c r="X147" s="90" t="str">
        <f t="shared" ca="1" si="36"/>
        <v/>
      </c>
      <c r="Y147" s="91" t="str">
        <f t="shared" ca="1" si="37"/>
        <v/>
      </c>
    </row>
    <row r="148" spans="14:25" ht="14.5" x14ac:dyDescent="0.35">
      <c r="N148" s="90" t="e">
        <f t="shared" si="26"/>
        <v>#DIV/0!</v>
      </c>
      <c r="O148" s="90" t="str">
        <f t="shared" ca="1" si="30"/>
        <v/>
      </c>
      <c r="P148" s="91" t="str">
        <f t="shared" ca="1" si="31"/>
        <v/>
      </c>
      <c r="Q148" s="90" t="e">
        <f t="shared" si="27"/>
        <v>#DIV/0!</v>
      </c>
      <c r="R148" s="90" t="str">
        <f t="shared" ca="1" si="32"/>
        <v/>
      </c>
      <c r="S148" s="91" t="str">
        <f t="shared" ca="1" si="33"/>
        <v/>
      </c>
      <c r="T148" s="90" t="e">
        <f t="shared" si="28"/>
        <v>#DIV/0!</v>
      </c>
      <c r="U148" s="90" t="str">
        <f t="shared" ca="1" si="34"/>
        <v/>
      </c>
      <c r="V148" s="91" t="str">
        <f t="shared" ca="1" si="35"/>
        <v/>
      </c>
      <c r="W148" s="90" t="e">
        <f t="shared" si="29"/>
        <v>#DIV/0!</v>
      </c>
      <c r="X148" s="90" t="str">
        <f t="shared" ca="1" si="36"/>
        <v/>
      </c>
      <c r="Y148" s="91" t="str">
        <f t="shared" ca="1" si="37"/>
        <v/>
      </c>
    </row>
    <row r="149" spans="14:25" ht="14.5" x14ac:dyDescent="0.35">
      <c r="N149" s="90" t="e">
        <f t="shared" si="26"/>
        <v>#DIV/0!</v>
      </c>
      <c r="O149" s="90" t="str">
        <f t="shared" ca="1" si="30"/>
        <v/>
      </c>
      <c r="P149" s="91" t="str">
        <f t="shared" ca="1" si="31"/>
        <v/>
      </c>
      <c r="Q149" s="90" t="e">
        <f t="shared" si="27"/>
        <v>#DIV/0!</v>
      </c>
      <c r="R149" s="90" t="str">
        <f t="shared" ca="1" si="32"/>
        <v/>
      </c>
      <c r="S149" s="91" t="str">
        <f t="shared" ca="1" si="33"/>
        <v/>
      </c>
      <c r="T149" s="90" t="e">
        <f t="shared" si="28"/>
        <v>#DIV/0!</v>
      </c>
      <c r="U149" s="90" t="str">
        <f t="shared" ca="1" si="34"/>
        <v/>
      </c>
      <c r="V149" s="91" t="str">
        <f t="shared" ca="1" si="35"/>
        <v/>
      </c>
      <c r="W149" s="90" t="e">
        <f t="shared" si="29"/>
        <v>#DIV/0!</v>
      </c>
      <c r="X149" s="90" t="str">
        <f t="shared" ca="1" si="36"/>
        <v/>
      </c>
      <c r="Y149" s="91" t="str">
        <f t="shared" ca="1" si="37"/>
        <v/>
      </c>
    </row>
    <row r="150" spans="14:25" ht="14.5" x14ac:dyDescent="0.35">
      <c r="N150" s="90" t="e">
        <f t="shared" si="26"/>
        <v>#DIV/0!</v>
      </c>
      <c r="O150" s="90" t="str">
        <f t="shared" ca="1" si="30"/>
        <v/>
      </c>
      <c r="P150" s="91" t="str">
        <f t="shared" ca="1" si="31"/>
        <v/>
      </c>
      <c r="Q150" s="90" t="e">
        <f t="shared" si="27"/>
        <v>#DIV/0!</v>
      </c>
      <c r="R150" s="90" t="str">
        <f t="shared" ca="1" si="32"/>
        <v/>
      </c>
      <c r="S150" s="91" t="str">
        <f t="shared" ca="1" si="33"/>
        <v/>
      </c>
      <c r="T150" s="90" t="e">
        <f t="shared" si="28"/>
        <v>#DIV/0!</v>
      </c>
      <c r="U150" s="90" t="str">
        <f t="shared" ca="1" si="34"/>
        <v/>
      </c>
      <c r="V150" s="91" t="str">
        <f t="shared" ca="1" si="35"/>
        <v/>
      </c>
      <c r="W150" s="90" t="e">
        <f t="shared" si="29"/>
        <v>#DIV/0!</v>
      </c>
      <c r="X150" s="90" t="str">
        <f t="shared" ca="1" si="36"/>
        <v/>
      </c>
      <c r="Y150" s="91" t="str">
        <f t="shared" ca="1" si="37"/>
        <v/>
      </c>
    </row>
    <row r="151" spans="14:25" ht="14.5" x14ac:dyDescent="0.35">
      <c r="N151" s="90" t="e">
        <f t="shared" si="26"/>
        <v>#DIV/0!</v>
      </c>
      <c r="O151" s="90" t="str">
        <f t="shared" ca="1" si="30"/>
        <v/>
      </c>
      <c r="P151" s="91" t="str">
        <f t="shared" ca="1" si="31"/>
        <v/>
      </c>
      <c r="Q151" s="90" t="e">
        <f t="shared" si="27"/>
        <v>#DIV/0!</v>
      </c>
      <c r="R151" s="90" t="str">
        <f t="shared" ca="1" si="32"/>
        <v/>
      </c>
      <c r="S151" s="91" t="str">
        <f t="shared" ca="1" si="33"/>
        <v/>
      </c>
      <c r="T151" s="90" t="e">
        <f t="shared" si="28"/>
        <v>#DIV/0!</v>
      </c>
      <c r="U151" s="90" t="str">
        <f t="shared" ca="1" si="34"/>
        <v/>
      </c>
      <c r="V151" s="91" t="str">
        <f t="shared" ca="1" si="35"/>
        <v/>
      </c>
      <c r="W151" s="90" t="e">
        <f t="shared" si="29"/>
        <v>#DIV/0!</v>
      </c>
      <c r="X151" s="90" t="str">
        <f t="shared" ca="1" si="36"/>
        <v/>
      </c>
      <c r="Y151" s="91" t="str">
        <f t="shared" ca="1" si="37"/>
        <v/>
      </c>
    </row>
    <row r="152" spans="14:25" ht="14.5" x14ac:dyDescent="0.35">
      <c r="N152" s="90" t="e">
        <f t="shared" si="26"/>
        <v>#DIV/0!</v>
      </c>
      <c r="O152" s="90" t="str">
        <f t="shared" ca="1" si="30"/>
        <v/>
      </c>
      <c r="P152" s="91" t="str">
        <f t="shared" ca="1" si="31"/>
        <v/>
      </c>
      <c r="Q152" s="90" t="e">
        <f t="shared" si="27"/>
        <v>#DIV/0!</v>
      </c>
      <c r="R152" s="90" t="str">
        <f t="shared" ca="1" si="32"/>
        <v/>
      </c>
      <c r="S152" s="91" t="str">
        <f t="shared" ca="1" si="33"/>
        <v/>
      </c>
      <c r="T152" s="90" t="e">
        <f t="shared" si="28"/>
        <v>#DIV/0!</v>
      </c>
      <c r="U152" s="90" t="str">
        <f t="shared" ca="1" si="34"/>
        <v/>
      </c>
      <c r="V152" s="91" t="str">
        <f t="shared" ca="1" si="35"/>
        <v/>
      </c>
      <c r="W152" s="90" t="e">
        <f t="shared" si="29"/>
        <v>#DIV/0!</v>
      </c>
      <c r="X152" s="90" t="str">
        <f t="shared" ca="1" si="36"/>
        <v/>
      </c>
      <c r="Y152" s="91" t="str">
        <f t="shared" ca="1" si="37"/>
        <v/>
      </c>
    </row>
    <row r="153" spans="14:25" ht="14.5" x14ac:dyDescent="0.35">
      <c r="N153" s="90" t="e">
        <f t="shared" si="26"/>
        <v>#DIV/0!</v>
      </c>
      <c r="O153" s="90" t="str">
        <f t="shared" ca="1" si="30"/>
        <v/>
      </c>
      <c r="P153" s="91" t="str">
        <f t="shared" ca="1" si="31"/>
        <v/>
      </c>
      <c r="Q153" s="90" t="e">
        <f t="shared" si="27"/>
        <v>#DIV/0!</v>
      </c>
      <c r="R153" s="90" t="str">
        <f t="shared" ca="1" si="32"/>
        <v/>
      </c>
      <c r="S153" s="91" t="str">
        <f t="shared" ca="1" si="33"/>
        <v/>
      </c>
      <c r="T153" s="90" t="e">
        <f t="shared" si="28"/>
        <v>#DIV/0!</v>
      </c>
      <c r="U153" s="90" t="str">
        <f t="shared" ca="1" si="34"/>
        <v/>
      </c>
      <c r="V153" s="91" t="str">
        <f t="shared" ca="1" si="35"/>
        <v/>
      </c>
      <c r="W153" s="90" t="e">
        <f t="shared" si="29"/>
        <v>#DIV/0!</v>
      </c>
      <c r="X153" s="90" t="str">
        <f t="shared" ca="1" si="36"/>
        <v/>
      </c>
      <c r="Y153" s="91" t="str">
        <f t="shared" ca="1" si="37"/>
        <v/>
      </c>
    </row>
    <row r="154" spans="14:25" ht="14.5" x14ac:dyDescent="0.35">
      <c r="N154" s="90" t="e">
        <f t="shared" si="26"/>
        <v>#DIV/0!</v>
      </c>
      <c r="O154" s="90" t="str">
        <f t="shared" ca="1" si="30"/>
        <v/>
      </c>
      <c r="P154" s="91" t="str">
        <f t="shared" ca="1" si="31"/>
        <v/>
      </c>
      <c r="Q154" s="90" t="e">
        <f t="shared" si="27"/>
        <v>#DIV/0!</v>
      </c>
      <c r="R154" s="90" t="str">
        <f t="shared" ca="1" si="32"/>
        <v/>
      </c>
      <c r="S154" s="91" t="str">
        <f t="shared" ca="1" si="33"/>
        <v/>
      </c>
      <c r="T154" s="90" t="e">
        <f t="shared" si="28"/>
        <v>#DIV/0!</v>
      </c>
      <c r="U154" s="90" t="str">
        <f t="shared" ca="1" si="34"/>
        <v/>
      </c>
      <c r="V154" s="91" t="str">
        <f t="shared" ca="1" si="35"/>
        <v/>
      </c>
      <c r="W154" s="90" t="e">
        <f t="shared" si="29"/>
        <v>#DIV/0!</v>
      </c>
      <c r="X154" s="90" t="str">
        <f t="shared" ca="1" si="36"/>
        <v/>
      </c>
      <c r="Y154" s="91" t="str">
        <f t="shared" ca="1" si="37"/>
        <v/>
      </c>
    </row>
    <row r="155" spans="14:25" ht="14.5" x14ac:dyDescent="0.35">
      <c r="N155" s="90" t="e">
        <f t="shared" si="26"/>
        <v>#DIV/0!</v>
      </c>
      <c r="O155" s="90" t="str">
        <f t="shared" ca="1" si="30"/>
        <v/>
      </c>
      <c r="P155" s="91" t="str">
        <f t="shared" ca="1" si="31"/>
        <v/>
      </c>
      <c r="Q155" s="90" t="e">
        <f t="shared" si="27"/>
        <v>#DIV/0!</v>
      </c>
      <c r="R155" s="90" t="str">
        <f t="shared" ca="1" si="32"/>
        <v/>
      </c>
      <c r="S155" s="91" t="str">
        <f t="shared" ca="1" si="33"/>
        <v/>
      </c>
      <c r="T155" s="90" t="e">
        <f t="shared" si="28"/>
        <v>#DIV/0!</v>
      </c>
      <c r="U155" s="90" t="str">
        <f t="shared" ca="1" si="34"/>
        <v/>
      </c>
      <c r="V155" s="91" t="str">
        <f t="shared" ca="1" si="35"/>
        <v/>
      </c>
      <c r="W155" s="90" t="e">
        <f t="shared" si="29"/>
        <v>#DIV/0!</v>
      </c>
      <c r="X155" s="90" t="str">
        <f t="shared" ca="1" si="36"/>
        <v/>
      </c>
      <c r="Y155" s="91" t="str">
        <f t="shared" ca="1" si="37"/>
        <v/>
      </c>
    </row>
    <row r="156" spans="14:25" ht="14.5" x14ac:dyDescent="0.35">
      <c r="N156" s="90" t="e">
        <f t="shared" si="26"/>
        <v>#DIV/0!</v>
      </c>
      <c r="O156" s="90" t="str">
        <f t="shared" ca="1" si="30"/>
        <v/>
      </c>
      <c r="P156" s="91" t="str">
        <f t="shared" ca="1" si="31"/>
        <v/>
      </c>
      <c r="Q156" s="90" t="e">
        <f t="shared" si="27"/>
        <v>#DIV/0!</v>
      </c>
      <c r="R156" s="90" t="str">
        <f t="shared" ca="1" si="32"/>
        <v/>
      </c>
      <c r="S156" s="91" t="str">
        <f t="shared" ca="1" si="33"/>
        <v/>
      </c>
      <c r="T156" s="90" t="e">
        <f t="shared" si="28"/>
        <v>#DIV/0!</v>
      </c>
      <c r="U156" s="90" t="str">
        <f t="shared" ca="1" si="34"/>
        <v/>
      </c>
      <c r="V156" s="91" t="str">
        <f t="shared" ca="1" si="35"/>
        <v/>
      </c>
      <c r="W156" s="90" t="e">
        <f t="shared" si="29"/>
        <v>#DIV/0!</v>
      </c>
      <c r="X156" s="90" t="str">
        <f t="shared" ca="1" si="36"/>
        <v/>
      </c>
      <c r="Y156" s="91" t="str">
        <f t="shared" ca="1" si="37"/>
        <v/>
      </c>
    </row>
    <row r="157" spans="14:25" ht="14.5" x14ac:dyDescent="0.35">
      <c r="N157" s="90" t="e">
        <f t="shared" si="26"/>
        <v>#DIV/0!</v>
      </c>
      <c r="O157" s="90" t="str">
        <f t="shared" ca="1" si="30"/>
        <v/>
      </c>
      <c r="P157" s="91" t="str">
        <f t="shared" ca="1" si="31"/>
        <v/>
      </c>
      <c r="Q157" s="90" t="e">
        <f t="shared" si="27"/>
        <v>#DIV/0!</v>
      </c>
      <c r="R157" s="90" t="str">
        <f t="shared" ca="1" si="32"/>
        <v/>
      </c>
      <c r="S157" s="91" t="str">
        <f t="shared" ca="1" si="33"/>
        <v/>
      </c>
      <c r="T157" s="90" t="e">
        <f t="shared" si="28"/>
        <v>#DIV/0!</v>
      </c>
      <c r="U157" s="90" t="str">
        <f t="shared" ca="1" si="34"/>
        <v/>
      </c>
      <c r="V157" s="91" t="str">
        <f t="shared" ca="1" si="35"/>
        <v/>
      </c>
      <c r="W157" s="90" t="e">
        <f t="shared" si="29"/>
        <v>#DIV/0!</v>
      </c>
      <c r="X157" s="90" t="str">
        <f t="shared" ca="1" si="36"/>
        <v/>
      </c>
      <c r="Y157" s="91" t="str">
        <f t="shared" ca="1" si="37"/>
        <v/>
      </c>
    </row>
    <row r="158" spans="14:25" ht="14.5" x14ac:dyDescent="0.35">
      <c r="N158" s="90" t="e">
        <f t="shared" si="26"/>
        <v>#DIV/0!</v>
      </c>
      <c r="O158" s="90" t="str">
        <f t="shared" ca="1" si="30"/>
        <v/>
      </c>
      <c r="P158" s="91" t="str">
        <f t="shared" ca="1" si="31"/>
        <v/>
      </c>
      <c r="Q158" s="90" t="e">
        <f t="shared" si="27"/>
        <v>#DIV/0!</v>
      </c>
      <c r="R158" s="90" t="str">
        <f t="shared" ca="1" si="32"/>
        <v/>
      </c>
      <c r="S158" s="91" t="str">
        <f t="shared" ca="1" si="33"/>
        <v/>
      </c>
      <c r="T158" s="90" t="e">
        <f t="shared" si="28"/>
        <v>#DIV/0!</v>
      </c>
      <c r="U158" s="90" t="str">
        <f t="shared" ca="1" si="34"/>
        <v/>
      </c>
      <c r="V158" s="91" t="str">
        <f t="shared" ca="1" si="35"/>
        <v/>
      </c>
      <c r="W158" s="90" t="e">
        <f t="shared" si="29"/>
        <v>#DIV/0!</v>
      </c>
      <c r="X158" s="90" t="str">
        <f t="shared" ca="1" si="36"/>
        <v/>
      </c>
      <c r="Y158" s="91" t="str">
        <f t="shared" ca="1" si="37"/>
        <v/>
      </c>
    </row>
    <row r="159" spans="14:25" ht="14.5" x14ac:dyDescent="0.35">
      <c r="N159" s="90" t="e">
        <f t="shared" si="26"/>
        <v>#DIV/0!</v>
      </c>
      <c r="O159" s="90" t="str">
        <f t="shared" ca="1" si="30"/>
        <v/>
      </c>
      <c r="P159" s="91" t="str">
        <f t="shared" ca="1" si="31"/>
        <v/>
      </c>
      <c r="Q159" s="90" t="e">
        <f t="shared" si="27"/>
        <v>#DIV/0!</v>
      </c>
      <c r="R159" s="90" t="str">
        <f t="shared" ca="1" si="32"/>
        <v/>
      </c>
      <c r="S159" s="91" t="str">
        <f t="shared" ca="1" si="33"/>
        <v/>
      </c>
      <c r="T159" s="90" t="e">
        <f t="shared" si="28"/>
        <v>#DIV/0!</v>
      </c>
      <c r="U159" s="90" t="str">
        <f t="shared" ca="1" si="34"/>
        <v/>
      </c>
      <c r="V159" s="91" t="str">
        <f t="shared" ca="1" si="35"/>
        <v/>
      </c>
      <c r="W159" s="90" t="e">
        <f t="shared" si="29"/>
        <v>#DIV/0!</v>
      </c>
      <c r="X159" s="90" t="str">
        <f t="shared" ca="1" si="36"/>
        <v/>
      </c>
      <c r="Y159" s="91" t="str">
        <f t="shared" ca="1" si="37"/>
        <v/>
      </c>
    </row>
    <row r="160" spans="14:25" ht="14.5" x14ac:dyDescent="0.35">
      <c r="N160" s="90" t="e">
        <f t="shared" si="26"/>
        <v>#DIV/0!</v>
      </c>
      <c r="O160" s="90" t="str">
        <f t="shared" ca="1" si="30"/>
        <v/>
      </c>
      <c r="P160" s="91" t="str">
        <f t="shared" ca="1" si="31"/>
        <v/>
      </c>
      <c r="Q160" s="90" t="e">
        <f t="shared" si="27"/>
        <v>#DIV/0!</v>
      </c>
      <c r="R160" s="90" t="str">
        <f t="shared" ca="1" si="32"/>
        <v/>
      </c>
      <c r="S160" s="91" t="str">
        <f t="shared" ca="1" si="33"/>
        <v/>
      </c>
      <c r="T160" s="90" t="e">
        <f t="shared" si="28"/>
        <v>#DIV/0!</v>
      </c>
      <c r="U160" s="90" t="str">
        <f t="shared" ca="1" si="34"/>
        <v/>
      </c>
      <c r="V160" s="91" t="str">
        <f t="shared" ca="1" si="35"/>
        <v/>
      </c>
      <c r="W160" s="90" t="e">
        <f t="shared" si="29"/>
        <v>#DIV/0!</v>
      </c>
      <c r="X160" s="90" t="str">
        <f t="shared" ca="1" si="36"/>
        <v/>
      </c>
      <c r="Y160" s="91" t="str">
        <f t="shared" ca="1" si="37"/>
        <v/>
      </c>
    </row>
    <row r="161" spans="14:25" ht="14.5" x14ac:dyDescent="0.35">
      <c r="N161" s="90" t="e">
        <f t="shared" si="26"/>
        <v>#DIV/0!</v>
      </c>
      <c r="O161" s="90" t="str">
        <f t="shared" ca="1" si="30"/>
        <v/>
      </c>
      <c r="P161" s="91" t="str">
        <f t="shared" ca="1" si="31"/>
        <v/>
      </c>
      <c r="Q161" s="90" t="e">
        <f t="shared" si="27"/>
        <v>#DIV/0!</v>
      </c>
      <c r="R161" s="90" t="str">
        <f t="shared" ca="1" si="32"/>
        <v/>
      </c>
      <c r="S161" s="91" t="str">
        <f t="shared" ca="1" si="33"/>
        <v/>
      </c>
      <c r="T161" s="90" t="e">
        <f t="shared" si="28"/>
        <v>#DIV/0!</v>
      </c>
      <c r="U161" s="90" t="str">
        <f t="shared" ca="1" si="34"/>
        <v/>
      </c>
      <c r="V161" s="91" t="str">
        <f t="shared" ca="1" si="35"/>
        <v/>
      </c>
      <c r="W161" s="90" t="e">
        <f t="shared" si="29"/>
        <v>#DIV/0!</v>
      </c>
      <c r="X161" s="90" t="str">
        <f t="shared" ca="1" si="36"/>
        <v/>
      </c>
      <c r="Y161" s="91" t="str">
        <f t="shared" ca="1" si="37"/>
        <v/>
      </c>
    </row>
    <row r="162" spans="14:25" ht="14.5" x14ac:dyDescent="0.35">
      <c r="N162" s="90" t="e">
        <f t="shared" si="26"/>
        <v>#DIV/0!</v>
      </c>
      <c r="O162" s="90" t="str">
        <f t="shared" ca="1" si="30"/>
        <v/>
      </c>
      <c r="P162" s="91" t="str">
        <f t="shared" ca="1" si="31"/>
        <v/>
      </c>
      <c r="Q162" s="90" t="e">
        <f t="shared" si="27"/>
        <v>#DIV/0!</v>
      </c>
      <c r="R162" s="90" t="str">
        <f t="shared" ca="1" si="32"/>
        <v/>
      </c>
      <c r="S162" s="91" t="str">
        <f t="shared" ca="1" si="33"/>
        <v/>
      </c>
      <c r="T162" s="90" t="e">
        <f t="shared" si="28"/>
        <v>#DIV/0!</v>
      </c>
      <c r="U162" s="90" t="str">
        <f t="shared" ca="1" si="34"/>
        <v/>
      </c>
      <c r="V162" s="91" t="str">
        <f t="shared" ca="1" si="35"/>
        <v/>
      </c>
      <c r="W162" s="90" t="e">
        <f t="shared" si="29"/>
        <v>#DIV/0!</v>
      </c>
      <c r="X162" s="90" t="str">
        <f t="shared" ca="1" si="36"/>
        <v/>
      </c>
      <c r="Y162" s="91" t="str">
        <f t="shared" ca="1" si="37"/>
        <v/>
      </c>
    </row>
    <row r="163" spans="14:25" ht="14.5" x14ac:dyDescent="0.35">
      <c r="N163" s="90" t="e">
        <f t="shared" si="26"/>
        <v>#DIV/0!</v>
      </c>
      <c r="O163" s="90" t="str">
        <f t="shared" ca="1" si="30"/>
        <v/>
      </c>
      <c r="P163" s="91" t="str">
        <f t="shared" ca="1" si="31"/>
        <v/>
      </c>
      <c r="Q163" s="90" t="e">
        <f t="shared" si="27"/>
        <v>#DIV/0!</v>
      </c>
      <c r="R163" s="90" t="str">
        <f t="shared" ca="1" si="32"/>
        <v/>
      </c>
      <c r="S163" s="91" t="str">
        <f t="shared" ca="1" si="33"/>
        <v/>
      </c>
      <c r="T163" s="90" t="e">
        <f t="shared" si="28"/>
        <v>#DIV/0!</v>
      </c>
      <c r="U163" s="90" t="str">
        <f t="shared" ca="1" si="34"/>
        <v/>
      </c>
      <c r="V163" s="91" t="str">
        <f t="shared" ca="1" si="35"/>
        <v/>
      </c>
      <c r="W163" s="90" t="e">
        <f t="shared" si="29"/>
        <v>#DIV/0!</v>
      </c>
      <c r="X163" s="90" t="str">
        <f t="shared" ca="1" si="36"/>
        <v/>
      </c>
      <c r="Y163" s="91" t="str">
        <f t="shared" ca="1" si="37"/>
        <v/>
      </c>
    </row>
    <row r="164" spans="14:25" ht="14.5" x14ac:dyDescent="0.35">
      <c r="N164" s="90" t="e">
        <f t="shared" si="26"/>
        <v>#DIV/0!</v>
      </c>
      <c r="O164" s="90" t="str">
        <f t="shared" ca="1" si="30"/>
        <v/>
      </c>
      <c r="P164" s="91" t="str">
        <f t="shared" ca="1" si="31"/>
        <v/>
      </c>
      <c r="Q164" s="90" t="e">
        <f t="shared" si="27"/>
        <v>#DIV/0!</v>
      </c>
      <c r="R164" s="90" t="str">
        <f t="shared" ca="1" si="32"/>
        <v/>
      </c>
      <c r="S164" s="91" t="str">
        <f t="shared" ca="1" si="33"/>
        <v/>
      </c>
      <c r="T164" s="90" t="e">
        <f t="shared" si="28"/>
        <v>#DIV/0!</v>
      </c>
      <c r="U164" s="90" t="str">
        <f t="shared" ca="1" si="34"/>
        <v/>
      </c>
      <c r="V164" s="91" t="str">
        <f t="shared" ca="1" si="35"/>
        <v/>
      </c>
      <c r="W164" s="90" t="e">
        <f t="shared" si="29"/>
        <v>#DIV/0!</v>
      </c>
      <c r="X164" s="90" t="str">
        <f t="shared" ca="1" si="36"/>
        <v/>
      </c>
      <c r="Y164" s="91" t="str">
        <f t="shared" ca="1" si="37"/>
        <v/>
      </c>
    </row>
    <row r="165" spans="14:25" ht="14.5" x14ac:dyDescent="0.35">
      <c r="N165" s="90" t="e">
        <f t="shared" si="26"/>
        <v>#DIV/0!</v>
      </c>
      <c r="O165" s="90" t="str">
        <f t="shared" ca="1" si="30"/>
        <v/>
      </c>
      <c r="P165" s="91" t="str">
        <f t="shared" ca="1" si="31"/>
        <v/>
      </c>
      <c r="Q165" s="90" t="e">
        <f t="shared" si="27"/>
        <v>#DIV/0!</v>
      </c>
      <c r="R165" s="90" t="str">
        <f t="shared" ca="1" si="32"/>
        <v/>
      </c>
      <c r="S165" s="91" t="str">
        <f t="shared" ca="1" si="33"/>
        <v/>
      </c>
      <c r="T165" s="90" t="e">
        <f t="shared" si="28"/>
        <v>#DIV/0!</v>
      </c>
      <c r="U165" s="90" t="str">
        <f t="shared" ca="1" si="34"/>
        <v/>
      </c>
      <c r="V165" s="91" t="str">
        <f t="shared" ca="1" si="35"/>
        <v/>
      </c>
      <c r="W165" s="90" t="e">
        <f t="shared" si="29"/>
        <v>#DIV/0!</v>
      </c>
      <c r="X165" s="90" t="str">
        <f t="shared" ca="1" si="36"/>
        <v/>
      </c>
      <c r="Y165" s="91" t="str">
        <f t="shared" ca="1" si="37"/>
        <v/>
      </c>
    </row>
    <row r="166" spans="14:25" ht="14.5" x14ac:dyDescent="0.35">
      <c r="N166" s="90" t="e">
        <f t="shared" si="26"/>
        <v>#DIV/0!</v>
      </c>
      <c r="O166" s="90" t="str">
        <f t="shared" ca="1" si="30"/>
        <v/>
      </c>
      <c r="P166" s="91" t="str">
        <f t="shared" ca="1" si="31"/>
        <v/>
      </c>
      <c r="Q166" s="90" t="e">
        <f t="shared" si="27"/>
        <v>#DIV/0!</v>
      </c>
      <c r="R166" s="90" t="str">
        <f t="shared" ca="1" si="32"/>
        <v/>
      </c>
      <c r="S166" s="91" t="str">
        <f t="shared" ca="1" si="33"/>
        <v/>
      </c>
      <c r="T166" s="90" t="e">
        <f t="shared" si="28"/>
        <v>#DIV/0!</v>
      </c>
      <c r="U166" s="90" t="str">
        <f t="shared" ca="1" si="34"/>
        <v/>
      </c>
      <c r="V166" s="91" t="str">
        <f t="shared" ca="1" si="35"/>
        <v/>
      </c>
      <c r="W166" s="90" t="e">
        <f t="shared" si="29"/>
        <v>#DIV/0!</v>
      </c>
      <c r="X166" s="90" t="str">
        <f t="shared" ca="1" si="36"/>
        <v/>
      </c>
      <c r="Y166" s="91" t="str">
        <f t="shared" ca="1" si="37"/>
        <v/>
      </c>
    </row>
    <row r="167" spans="14:25" ht="14.5" x14ac:dyDescent="0.35">
      <c r="N167" s="90" t="e">
        <f t="shared" si="26"/>
        <v>#DIV/0!</v>
      </c>
      <c r="O167" s="90" t="str">
        <f t="shared" ca="1" si="30"/>
        <v/>
      </c>
      <c r="P167" s="91" t="str">
        <f t="shared" ca="1" si="31"/>
        <v/>
      </c>
      <c r="Q167" s="90" t="e">
        <f t="shared" si="27"/>
        <v>#DIV/0!</v>
      </c>
      <c r="R167" s="90" t="str">
        <f t="shared" ca="1" si="32"/>
        <v/>
      </c>
      <c r="S167" s="91" t="str">
        <f t="shared" ca="1" si="33"/>
        <v/>
      </c>
      <c r="T167" s="90" t="e">
        <f t="shared" si="28"/>
        <v>#DIV/0!</v>
      </c>
      <c r="U167" s="90" t="str">
        <f t="shared" ca="1" si="34"/>
        <v/>
      </c>
      <c r="V167" s="91" t="str">
        <f t="shared" ca="1" si="35"/>
        <v/>
      </c>
      <c r="W167" s="90" t="e">
        <f t="shared" si="29"/>
        <v>#DIV/0!</v>
      </c>
      <c r="X167" s="90" t="str">
        <f t="shared" ca="1" si="36"/>
        <v/>
      </c>
      <c r="Y167" s="91" t="str">
        <f t="shared" ca="1" si="37"/>
        <v/>
      </c>
    </row>
    <row r="168" spans="14:25" ht="14.5" x14ac:dyDescent="0.35">
      <c r="N168" s="90" t="e">
        <f>IF(AND(W167&lt;$B$24,W167&lt;$R$14),W167+1,"")</f>
        <v>#DIV/0!</v>
      </c>
      <c r="O168" s="90" t="str">
        <f t="shared" ca="1" si="30"/>
        <v/>
      </c>
      <c r="P168" s="91" t="str">
        <f t="shared" ca="1" si="31"/>
        <v/>
      </c>
      <c r="Q168" s="90" t="e">
        <f>IF(AND(N217&lt;$B$24,N217&lt;$R$14),N217+1,"")</f>
        <v>#DIV/0!</v>
      </c>
      <c r="R168" s="90" t="str">
        <f t="shared" ca="1" si="32"/>
        <v/>
      </c>
      <c r="S168" s="91" t="str">
        <f t="shared" ca="1" si="33"/>
        <v/>
      </c>
      <c r="T168" s="90" t="e">
        <f>IF(AND(Q217&lt;$B$24,Q217&lt;$R$14),Q217+1,"")</f>
        <v>#DIV/0!</v>
      </c>
      <c r="U168" s="90" t="str">
        <f t="shared" ca="1" si="34"/>
        <v/>
      </c>
      <c r="V168" s="91" t="str">
        <f t="shared" ca="1" si="35"/>
        <v/>
      </c>
      <c r="W168" s="90" t="e">
        <f>IF(AND(T217&lt;$B$24,T217&lt;$R$14),T217+1,"")</f>
        <v>#DIV/0!</v>
      </c>
      <c r="X168" s="90" t="str">
        <f t="shared" ca="1" si="36"/>
        <v/>
      </c>
      <c r="Y168" s="91" t="str">
        <f t="shared" ca="1" si="37"/>
        <v/>
      </c>
    </row>
    <row r="169" spans="14:25" ht="14.5" x14ac:dyDescent="0.35">
      <c r="N169" s="90" t="e">
        <f t="shared" ref="N169:N217" si="38">IF(AND(N168&lt;$B$24,N168&lt;$R$14),N168+1,"")</f>
        <v>#DIV/0!</v>
      </c>
      <c r="O169" s="90" t="str">
        <f t="shared" ca="1" si="30"/>
        <v/>
      </c>
      <c r="P169" s="91" t="str">
        <f t="shared" ca="1" si="31"/>
        <v/>
      </c>
      <c r="Q169" s="90" t="e">
        <f t="shared" ref="Q169:Q217" si="39">IF(AND(Q168&lt;$B$24,Q168&lt;$R$14),Q168+1,"")</f>
        <v>#DIV/0!</v>
      </c>
      <c r="R169" s="90" t="str">
        <f t="shared" ca="1" si="32"/>
        <v/>
      </c>
      <c r="S169" s="91" t="str">
        <f t="shared" ca="1" si="33"/>
        <v/>
      </c>
      <c r="T169" s="90" t="e">
        <f t="shared" ref="T169:T217" si="40">IF(AND(T168&lt;$B$24,T168&lt;$R$14),T168+1,"")</f>
        <v>#DIV/0!</v>
      </c>
      <c r="U169" s="90" t="str">
        <f t="shared" ca="1" si="34"/>
        <v/>
      </c>
      <c r="V169" s="91" t="str">
        <f t="shared" ca="1" si="35"/>
        <v/>
      </c>
      <c r="W169" s="90" t="e">
        <f t="shared" ref="W169:W217" si="41">IF(AND(W168&lt;$B$24,W168&lt;$R$14),W168+1,"")</f>
        <v>#DIV/0!</v>
      </c>
      <c r="X169" s="90" t="str">
        <f t="shared" ca="1" si="36"/>
        <v/>
      </c>
      <c r="Y169" s="91" t="str">
        <f t="shared" ca="1" si="37"/>
        <v/>
      </c>
    </row>
    <row r="170" spans="14:25" ht="14.5" x14ac:dyDescent="0.35">
      <c r="N170" s="90" t="e">
        <f t="shared" si="38"/>
        <v>#DIV/0!</v>
      </c>
      <c r="O170" s="90" t="str">
        <f t="shared" ca="1" si="30"/>
        <v/>
      </c>
      <c r="P170" s="91" t="str">
        <f t="shared" ca="1" si="31"/>
        <v/>
      </c>
      <c r="Q170" s="90" t="e">
        <f t="shared" si="39"/>
        <v>#DIV/0!</v>
      </c>
      <c r="R170" s="90" t="str">
        <f t="shared" ca="1" si="32"/>
        <v/>
      </c>
      <c r="S170" s="91" t="str">
        <f t="shared" ca="1" si="33"/>
        <v/>
      </c>
      <c r="T170" s="90" t="e">
        <f t="shared" si="40"/>
        <v>#DIV/0!</v>
      </c>
      <c r="U170" s="90" t="str">
        <f t="shared" ca="1" si="34"/>
        <v/>
      </c>
      <c r="V170" s="91" t="str">
        <f t="shared" ca="1" si="35"/>
        <v/>
      </c>
      <c r="W170" s="90" t="e">
        <f t="shared" si="41"/>
        <v>#DIV/0!</v>
      </c>
      <c r="X170" s="90" t="str">
        <f t="shared" ca="1" si="36"/>
        <v/>
      </c>
      <c r="Y170" s="91" t="str">
        <f t="shared" ca="1" si="37"/>
        <v/>
      </c>
    </row>
    <row r="171" spans="14:25" ht="14.5" x14ac:dyDescent="0.35">
      <c r="N171" s="90" t="e">
        <f t="shared" si="38"/>
        <v>#DIV/0!</v>
      </c>
      <c r="O171" s="90" t="str">
        <f t="shared" ca="1" si="30"/>
        <v/>
      </c>
      <c r="P171" s="91" t="str">
        <f t="shared" ca="1" si="31"/>
        <v/>
      </c>
      <c r="Q171" s="90" t="e">
        <f t="shared" si="39"/>
        <v>#DIV/0!</v>
      </c>
      <c r="R171" s="90" t="str">
        <f t="shared" ca="1" si="32"/>
        <v/>
      </c>
      <c r="S171" s="91" t="str">
        <f t="shared" ca="1" si="33"/>
        <v/>
      </c>
      <c r="T171" s="90" t="e">
        <f t="shared" si="40"/>
        <v>#DIV/0!</v>
      </c>
      <c r="U171" s="90" t="str">
        <f t="shared" ca="1" si="34"/>
        <v/>
      </c>
      <c r="V171" s="91" t="str">
        <f t="shared" ca="1" si="35"/>
        <v/>
      </c>
      <c r="W171" s="90" t="e">
        <f t="shared" si="41"/>
        <v>#DIV/0!</v>
      </c>
      <c r="X171" s="90" t="str">
        <f t="shared" ca="1" si="36"/>
        <v/>
      </c>
      <c r="Y171" s="91" t="str">
        <f t="shared" ca="1" si="37"/>
        <v/>
      </c>
    </row>
    <row r="172" spans="14:25" ht="14.5" x14ac:dyDescent="0.35">
      <c r="N172" s="90" t="e">
        <f t="shared" si="38"/>
        <v>#DIV/0!</v>
      </c>
      <c r="O172" s="90" t="str">
        <f t="shared" ca="1" si="30"/>
        <v/>
      </c>
      <c r="P172" s="91" t="str">
        <f t="shared" ca="1" si="31"/>
        <v/>
      </c>
      <c r="Q172" s="90" t="e">
        <f t="shared" si="39"/>
        <v>#DIV/0!</v>
      </c>
      <c r="R172" s="90" t="str">
        <f t="shared" ca="1" si="32"/>
        <v/>
      </c>
      <c r="S172" s="91" t="str">
        <f t="shared" ca="1" si="33"/>
        <v/>
      </c>
      <c r="T172" s="90" t="e">
        <f t="shared" si="40"/>
        <v>#DIV/0!</v>
      </c>
      <c r="U172" s="90" t="str">
        <f t="shared" ca="1" si="34"/>
        <v/>
      </c>
      <c r="V172" s="91" t="str">
        <f t="shared" ca="1" si="35"/>
        <v/>
      </c>
      <c r="W172" s="90" t="e">
        <f t="shared" si="41"/>
        <v>#DIV/0!</v>
      </c>
      <c r="X172" s="90" t="str">
        <f t="shared" ca="1" si="36"/>
        <v/>
      </c>
      <c r="Y172" s="91" t="str">
        <f t="shared" ca="1" si="37"/>
        <v/>
      </c>
    </row>
    <row r="173" spans="14:25" ht="14.5" x14ac:dyDescent="0.35">
      <c r="N173" s="90" t="e">
        <f t="shared" si="38"/>
        <v>#DIV/0!</v>
      </c>
      <c r="O173" s="90" t="str">
        <f t="shared" ca="1" si="30"/>
        <v/>
      </c>
      <c r="P173" s="91" t="str">
        <f t="shared" ca="1" si="31"/>
        <v/>
      </c>
      <c r="Q173" s="90" t="e">
        <f t="shared" si="39"/>
        <v>#DIV/0!</v>
      </c>
      <c r="R173" s="90" t="str">
        <f t="shared" ca="1" si="32"/>
        <v/>
      </c>
      <c r="S173" s="91" t="str">
        <f t="shared" ca="1" si="33"/>
        <v/>
      </c>
      <c r="T173" s="90" t="e">
        <f t="shared" si="40"/>
        <v>#DIV/0!</v>
      </c>
      <c r="U173" s="90" t="str">
        <f t="shared" ca="1" si="34"/>
        <v/>
      </c>
      <c r="V173" s="91" t="str">
        <f t="shared" ca="1" si="35"/>
        <v/>
      </c>
      <c r="W173" s="90" t="e">
        <f t="shared" si="41"/>
        <v>#DIV/0!</v>
      </c>
      <c r="X173" s="90" t="str">
        <f t="shared" ca="1" si="36"/>
        <v/>
      </c>
      <c r="Y173" s="91" t="str">
        <f t="shared" ca="1" si="37"/>
        <v/>
      </c>
    </row>
    <row r="174" spans="14:25" ht="14.5" x14ac:dyDescent="0.35">
      <c r="N174" s="90" t="e">
        <f t="shared" si="38"/>
        <v>#DIV/0!</v>
      </c>
      <c r="O174" s="90" t="str">
        <f t="shared" ca="1" si="30"/>
        <v/>
      </c>
      <c r="P174" s="91" t="str">
        <f t="shared" ca="1" si="31"/>
        <v/>
      </c>
      <c r="Q174" s="90" t="e">
        <f t="shared" si="39"/>
        <v>#DIV/0!</v>
      </c>
      <c r="R174" s="90" t="str">
        <f t="shared" ca="1" si="32"/>
        <v/>
      </c>
      <c r="S174" s="91" t="str">
        <f t="shared" ca="1" si="33"/>
        <v/>
      </c>
      <c r="T174" s="90" t="e">
        <f t="shared" si="40"/>
        <v>#DIV/0!</v>
      </c>
      <c r="U174" s="90" t="str">
        <f t="shared" ca="1" si="34"/>
        <v/>
      </c>
      <c r="V174" s="91" t="str">
        <f t="shared" ca="1" si="35"/>
        <v/>
      </c>
      <c r="W174" s="90" t="e">
        <f t="shared" si="41"/>
        <v>#DIV/0!</v>
      </c>
      <c r="X174" s="90" t="str">
        <f t="shared" ca="1" si="36"/>
        <v/>
      </c>
      <c r="Y174" s="91" t="str">
        <f t="shared" ca="1" si="37"/>
        <v/>
      </c>
    </row>
    <row r="175" spans="14:25" ht="14.5" x14ac:dyDescent="0.35">
      <c r="N175" s="90" t="e">
        <f t="shared" si="38"/>
        <v>#DIV/0!</v>
      </c>
      <c r="O175" s="90" t="str">
        <f t="shared" ca="1" si="30"/>
        <v/>
      </c>
      <c r="P175" s="91" t="str">
        <f t="shared" ca="1" si="31"/>
        <v/>
      </c>
      <c r="Q175" s="90" t="e">
        <f t="shared" si="39"/>
        <v>#DIV/0!</v>
      </c>
      <c r="R175" s="90" t="str">
        <f t="shared" ca="1" si="32"/>
        <v/>
      </c>
      <c r="S175" s="91" t="str">
        <f t="shared" ca="1" si="33"/>
        <v/>
      </c>
      <c r="T175" s="90" t="e">
        <f t="shared" si="40"/>
        <v>#DIV/0!</v>
      </c>
      <c r="U175" s="90" t="str">
        <f t="shared" ca="1" si="34"/>
        <v/>
      </c>
      <c r="V175" s="91" t="str">
        <f t="shared" ca="1" si="35"/>
        <v/>
      </c>
      <c r="W175" s="90" t="e">
        <f t="shared" si="41"/>
        <v>#DIV/0!</v>
      </c>
      <c r="X175" s="90" t="str">
        <f t="shared" ca="1" si="36"/>
        <v/>
      </c>
      <c r="Y175" s="91" t="str">
        <f t="shared" ca="1" si="37"/>
        <v/>
      </c>
    </row>
    <row r="176" spans="14:25" ht="14.5" x14ac:dyDescent="0.35">
      <c r="N176" s="90" t="e">
        <f t="shared" si="38"/>
        <v>#DIV/0!</v>
      </c>
      <c r="O176" s="90" t="str">
        <f t="shared" ca="1" si="30"/>
        <v/>
      </c>
      <c r="P176" s="91" t="str">
        <f t="shared" ca="1" si="31"/>
        <v/>
      </c>
      <c r="Q176" s="90" t="e">
        <f t="shared" si="39"/>
        <v>#DIV/0!</v>
      </c>
      <c r="R176" s="90" t="str">
        <f t="shared" ca="1" si="32"/>
        <v/>
      </c>
      <c r="S176" s="91" t="str">
        <f t="shared" ca="1" si="33"/>
        <v/>
      </c>
      <c r="T176" s="90" t="e">
        <f t="shared" si="40"/>
        <v>#DIV/0!</v>
      </c>
      <c r="U176" s="90" t="str">
        <f t="shared" ca="1" si="34"/>
        <v/>
      </c>
      <c r="V176" s="91" t="str">
        <f t="shared" ca="1" si="35"/>
        <v/>
      </c>
      <c r="W176" s="90" t="e">
        <f t="shared" si="41"/>
        <v>#DIV/0!</v>
      </c>
      <c r="X176" s="90" t="str">
        <f t="shared" ca="1" si="36"/>
        <v/>
      </c>
      <c r="Y176" s="91" t="str">
        <f t="shared" ca="1" si="37"/>
        <v/>
      </c>
    </row>
    <row r="177" spans="14:25" ht="14.5" x14ac:dyDescent="0.35">
      <c r="N177" s="90" t="e">
        <f t="shared" si="38"/>
        <v>#DIV/0!</v>
      </c>
      <c r="O177" s="90" t="str">
        <f t="shared" ca="1" si="30"/>
        <v/>
      </c>
      <c r="P177" s="91" t="str">
        <f t="shared" ca="1" si="31"/>
        <v/>
      </c>
      <c r="Q177" s="90" t="e">
        <f t="shared" si="39"/>
        <v>#DIV/0!</v>
      </c>
      <c r="R177" s="90" t="str">
        <f t="shared" ca="1" si="32"/>
        <v/>
      </c>
      <c r="S177" s="91" t="str">
        <f t="shared" ca="1" si="33"/>
        <v/>
      </c>
      <c r="T177" s="90" t="e">
        <f t="shared" si="40"/>
        <v>#DIV/0!</v>
      </c>
      <c r="U177" s="90" t="str">
        <f t="shared" ca="1" si="34"/>
        <v/>
      </c>
      <c r="V177" s="91" t="str">
        <f t="shared" ca="1" si="35"/>
        <v/>
      </c>
      <c r="W177" s="90" t="e">
        <f t="shared" si="41"/>
        <v>#DIV/0!</v>
      </c>
      <c r="X177" s="90" t="str">
        <f t="shared" ca="1" si="36"/>
        <v/>
      </c>
      <c r="Y177" s="91" t="str">
        <f t="shared" ca="1" si="37"/>
        <v/>
      </c>
    </row>
    <row r="178" spans="14:25" ht="14.5" x14ac:dyDescent="0.35">
      <c r="N178" s="90" t="e">
        <f t="shared" si="38"/>
        <v>#DIV/0!</v>
      </c>
      <c r="O178" s="90" t="str">
        <f t="shared" ca="1" si="30"/>
        <v/>
      </c>
      <c r="P178" s="91" t="str">
        <f t="shared" ca="1" si="31"/>
        <v/>
      </c>
      <c r="Q178" s="90" t="e">
        <f t="shared" si="39"/>
        <v>#DIV/0!</v>
      </c>
      <c r="R178" s="90" t="str">
        <f t="shared" ca="1" si="32"/>
        <v/>
      </c>
      <c r="S178" s="91" t="str">
        <f t="shared" ca="1" si="33"/>
        <v/>
      </c>
      <c r="T178" s="90" t="e">
        <f t="shared" si="40"/>
        <v>#DIV/0!</v>
      </c>
      <c r="U178" s="90" t="str">
        <f t="shared" ca="1" si="34"/>
        <v/>
      </c>
      <c r="V178" s="91" t="str">
        <f t="shared" ca="1" si="35"/>
        <v/>
      </c>
      <c r="W178" s="90" t="e">
        <f t="shared" si="41"/>
        <v>#DIV/0!</v>
      </c>
      <c r="X178" s="90" t="str">
        <f t="shared" ca="1" si="36"/>
        <v/>
      </c>
      <c r="Y178" s="91" t="str">
        <f t="shared" ca="1" si="37"/>
        <v/>
      </c>
    </row>
    <row r="179" spans="14:25" ht="14.5" x14ac:dyDescent="0.35">
      <c r="N179" s="90" t="e">
        <f t="shared" si="38"/>
        <v>#DIV/0!</v>
      </c>
      <c r="O179" s="90" t="str">
        <f t="shared" ca="1" si="30"/>
        <v/>
      </c>
      <c r="P179" s="91" t="str">
        <f t="shared" ca="1" si="31"/>
        <v/>
      </c>
      <c r="Q179" s="90" t="e">
        <f t="shared" si="39"/>
        <v>#DIV/0!</v>
      </c>
      <c r="R179" s="90" t="str">
        <f t="shared" ca="1" si="32"/>
        <v/>
      </c>
      <c r="S179" s="91" t="str">
        <f t="shared" ca="1" si="33"/>
        <v/>
      </c>
      <c r="T179" s="90" t="e">
        <f t="shared" si="40"/>
        <v>#DIV/0!</v>
      </c>
      <c r="U179" s="90" t="str">
        <f t="shared" ca="1" si="34"/>
        <v/>
      </c>
      <c r="V179" s="91" t="str">
        <f t="shared" ca="1" si="35"/>
        <v/>
      </c>
      <c r="W179" s="90" t="e">
        <f t="shared" si="41"/>
        <v>#DIV/0!</v>
      </c>
      <c r="X179" s="90" t="str">
        <f t="shared" ca="1" si="36"/>
        <v/>
      </c>
      <c r="Y179" s="91" t="str">
        <f t="shared" ca="1" si="37"/>
        <v/>
      </c>
    </row>
    <row r="180" spans="14:25" ht="14.5" x14ac:dyDescent="0.35">
      <c r="N180" s="90" t="e">
        <f t="shared" si="38"/>
        <v>#DIV/0!</v>
      </c>
      <c r="O180" s="90" t="str">
        <f t="shared" ca="1" si="30"/>
        <v/>
      </c>
      <c r="P180" s="91" t="str">
        <f t="shared" ca="1" si="31"/>
        <v/>
      </c>
      <c r="Q180" s="90" t="e">
        <f t="shared" si="39"/>
        <v>#DIV/0!</v>
      </c>
      <c r="R180" s="90" t="str">
        <f t="shared" ca="1" si="32"/>
        <v/>
      </c>
      <c r="S180" s="91" t="str">
        <f t="shared" ca="1" si="33"/>
        <v/>
      </c>
      <c r="T180" s="90" t="e">
        <f t="shared" si="40"/>
        <v>#DIV/0!</v>
      </c>
      <c r="U180" s="90" t="str">
        <f t="shared" ca="1" si="34"/>
        <v/>
      </c>
      <c r="V180" s="91" t="str">
        <f t="shared" ca="1" si="35"/>
        <v/>
      </c>
      <c r="W180" s="90" t="e">
        <f t="shared" si="41"/>
        <v>#DIV/0!</v>
      </c>
      <c r="X180" s="90" t="str">
        <f t="shared" ca="1" si="36"/>
        <v/>
      </c>
      <c r="Y180" s="91" t="str">
        <f t="shared" ca="1" si="37"/>
        <v/>
      </c>
    </row>
    <row r="181" spans="14:25" ht="14.5" x14ac:dyDescent="0.35">
      <c r="N181" s="90" t="e">
        <f t="shared" si="38"/>
        <v>#DIV/0!</v>
      </c>
      <c r="O181" s="90" t="str">
        <f t="shared" ca="1" si="30"/>
        <v/>
      </c>
      <c r="P181" s="91" t="str">
        <f t="shared" ca="1" si="31"/>
        <v/>
      </c>
      <c r="Q181" s="90" t="e">
        <f t="shared" si="39"/>
        <v>#DIV/0!</v>
      </c>
      <c r="R181" s="90" t="str">
        <f t="shared" ca="1" si="32"/>
        <v/>
      </c>
      <c r="S181" s="91" t="str">
        <f t="shared" ca="1" si="33"/>
        <v/>
      </c>
      <c r="T181" s="90" t="e">
        <f t="shared" si="40"/>
        <v>#DIV/0!</v>
      </c>
      <c r="U181" s="90" t="str">
        <f t="shared" ca="1" si="34"/>
        <v/>
      </c>
      <c r="V181" s="91" t="str">
        <f t="shared" ca="1" si="35"/>
        <v/>
      </c>
      <c r="W181" s="90" t="e">
        <f t="shared" si="41"/>
        <v>#DIV/0!</v>
      </c>
      <c r="X181" s="90" t="str">
        <f t="shared" ca="1" si="36"/>
        <v/>
      </c>
      <c r="Y181" s="91" t="str">
        <f t="shared" ca="1" si="37"/>
        <v/>
      </c>
    </row>
    <row r="182" spans="14:25" ht="14.5" x14ac:dyDescent="0.35">
      <c r="N182" s="90" t="e">
        <f t="shared" si="38"/>
        <v>#DIV/0!</v>
      </c>
      <c r="O182" s="90" t="str">
        <f t="shared" ca="1" si="30"/>
        <v/>
      </c>
      <c r="P182" s="91" t="str">
        <f t="shared" ca="1" si="31"/>
        <v/>
      </c>
      <c r="Q182" s="90" t="e">
        <f t="shared" si="39"/>
        <v>#DIV/0!</v>
      </c>
      <c r="R182" s="90" t="str">
        <f t="shared" ca="1" si="32"/>
        <v/>
      </c>
      <c r="S182" s="91" t="str">
        <f t="shared" ca="1" si="33"/>
        <v/>
      </c>
      <c r="T182" s="90" t="e">
        <f t="shared" si="40"/>
        <v>#DIV/0!</v>
      </c>
      <c r="U182" s="90" t="str">
        <f t="shared" ca="1" si="34"/>
        <v/>
      </c>
      <c r="V182" s="91" t="str">
        <f t="shared" ca="1" si="35"/>
        <v/>
      </c>
      <c r="W182" s="90" t="e">
        <f t="shared" si="41"/>
        <v>#DIV/0!</v>
      </c>
      <c r="X182" s="90" t="str">
        <f t="shared" ca="1" si="36"/>
        <v/>
      </c>
      <c r="Y182" s="91" t="str">
        <f t="shared" ca="1" si="37"/>
        <v/>
      </c>
    </row>
    <row r="183" spans="14:25" ht="14.5" x14ac:dyDescent="0.35">
      <c r="N183" s="90" t="e">
        <f t="shared" si="38"/>
        <v>#DIV/0!</v>
      </c>
      <c r="O183" s="90" t="str">
        <f t="shared" ca="1" si="30"/>
        <v/>
      </c>
      <c r="P183" s="91" t="str">
        <f t="shared" ca="1" si="31"/>
        <v/>
      </c>
      <c r="Q183" s="90" t="e">
        <f t="shared" si="39"/>
        <v>#DIV/0!</v>
      </c>
      <c r="R183" s="90" t="str">
        <f t="shared" ca="1" si="32"/>
        <v/>
      </c>
      <c r="S183" s="91" t="str">
        <f t="shared" ca="1" si="33"/>
        <v/>
      </c>
      <c r="T183" s="90" t="e">
        <f t="shared" si="40"/>
        <v>#DIV/0!</v>
      </c>
      <c r="U183" s="90" t="str">
        <f t="shared" ca="1" si="34"/>
        <v/>
      </c>
      <c r="V183" s="91" t="str">
        <f t="shared" ca="1" si="35"/>
        <v/>
      </c>
      <c r="W183" s="90" t="e">
        <f t="shared" si="41"/>
        <v>#DIV/0!</v>
      </c>
      <c r="X183" s="90" t="str">
        <f t="shared" ca="1" si="36"/>
        <v/>
      </c>
      <c r="Y183" s="91" t="str">
        <f t="shared" ca="1" si="37"/>
        <v/>
      </c>
    </row>
    <row r="184" spans="14:25" ht="14.5" x14ac:dyDescent="0.35">
      <c r="N184" s="90" t="e">
        <f t="shared" si="38"/>
        <v>#DIV/0!</v>
      </c>
      <c r="O184" s="90" t="str">
        <f t="shared" ca="1" si="30"/>
        <v/>
      </c>
      <c r="P184" s="91" t="str">
        <f t="shared" ca="1" si="31"/>
        <v/>
      </c>
      <c r="Q184" s="90" t="e">
        <f t="shared" si="39"/>
        <v>#DIV/0!</v>
      </c>
      <c r="R184" s="90" t="str">
        <f t="shared" ca="1" si="32"/>
        <v/>
      </c>
      <c r="S184" s="91" t="str">
        <f t="shared" ca="1" si="33"/>
        <v/>
      </c>
      <c r="T184" s="90" t="e">
        <f t="shared" si="40"/>
        <v>#DIV/0!</v>
      </c>
      <c r="U184" s="90" t="str">
        <f t="shared" ca="1" si="34"/>
        <v/>
      </c>
      <c r="V184" s="91" t="str">
        <f t="shared" ca="1" si="35"/>
        <v/>
      </c>
      <c r="W184" s="90" t="e">
        <f t="shared" si="41"/>
        <v>#DIV/0!</v>
      </c>
      <c r="X184" s="90" t="str">
        <f t="shared" ca="1" si="36"/>
        <v/>
      </c>
      <c r="Y184" s="91" t="str">
        <f t="shared" ca="1" si="37"/>
        <v/>
      </c>
    </row>
    <row r="185" spans="14:25" ht="14.5" x14ac:dyDescent="0.35">
      <c r="N185" s="90" t="e">
        <f t="shared" si="38"/>
        <v>#DIV/0!</v>
      </c>
      <c r="O185" s="90" t="str">
        <f t="shared" ca="1" si="30"/>
        <v/>
      </c>
      <c r="P185" s="91" t="str">
        <f t="shared" ca="1" si="31"/>
        <v/>
      </c>
      <c r="Q185" s="90" t="e">
        <f t="shared" si="39"/>
        <v>#DIV/0!</v>
      </c>
      <c r="R185" s="90" t="str">
        <f t="shared" ca="1" si="32"/>
        <v/>
      </c>
      <c r="S185" s="91" t="str">
        <f t="shared" ca="1" si="33"/>
        <v/>
      </c>
      <c r="T185" s="90" t="e">
        <f t="shared" si="40"/>
        <v>#DIV/0!</v>
      </c>
      <c r="U185" s="90" t="str">
        <f t="shared" ca="1" si="34"/>
        <v/>
      </c>
      <c r="V185" s="91" t="str">
        <f t="shared" ca="1" si="35"/>
        <v/>
      </c>
      <c r="W185" s="90" t="e">
        <f t="shared" si="41"/>
        <v>#DIV/0!</v>
      </c>
      <c r="X185" s="90" t="str">
        <f t="shared" ca="1" si="36"/>
        <v/>
      </c>
      <c r="Y185" s="91" t="str">
        <f t="shared" ca="1" si="37"/>
        <v/>
      </c>
    </row>
    <row r="186" spans="14:25" ht="14.5" x14ac:dyDescent="0.35">
      <c r="N186" s="90" t="e">
        <f t="shared" si="38"/>
        <v>#DIV/0!</v>
      </c>
      <c r="O186" s="90" t="str">
        <f t="shared" ca="1" si="30"/>
        <v/>
      </c>
      <c r="P186" s="91" t="str">
        <f t="shared" ca="1" si="31"/>
        <v/>
      </c>
      <c r="Q186" s="90" t="e">
        <f t="shared" si="39"/>
        <v>#DIV/0!</v>
      </c>
      <c r="R186" s="90" t="str">
        <f t="shared" ca="1" si="32"/>
        <v/>
      </c>
      <c r="S186" s="91" t="str">
        <f t="shared" ca="1" si="33"/>
        <v/>
      </c>
      <c r="T186" s="90" t="e">
        <f t="shared" si="40"/>
        <v>#DIV/0!</v>
      </c>
      <c r="U186" s="90" t="str">
        <f t="shared" ca="1" si="34"/>
        <v/>
      </c>
      <c r="V186" s="91" t="str">
        <f t="shared" ca="1" si="35"/>
        <v/>
      </c>
      <c r="W186" s="90" t="e">
        <f t="shared" si="41"/>
        <v>#DIV/0!</v>
      </c>
      <c r="X186" s="90" t="str">
        <f t="shared" ca="1" si="36"/>
        <v/>
      </c>
      <c r="Y186" s="91" t="str">
        <f t="shared" ca="1" si="37"/>
        <v/>
      </c>
    </row>
    <row r="187" spans="14:25" ht="14.5" x14ac:dyDescent="0.35">
      <c r="N187" s="90" t="e">
        <f t="shared" si="38"/>
        <v>#DIV/0!</v>
      </c>
      <c r="O187" s="90" t="str">
        <f t="shared" ca="1" si="30"/>
        <v/>
      </c>
      <c r="P187" s="91" t="str">
        <f t="shared" ca="1" si="31"/>
        <v/>
      </c>
      <c r="Q187" s="90" t="e">
        <f t="shared" si="39"/>
        <v>#DIV/0!</v>
      </c>
      <c r="R187" s="90" t="str">
        <f t="shared" ca="1" si="32"/>
        <v/>
      </c>
      <c r="S187" s="91" t="str">
        <f t="shared" ca="1" si="33"/>
        <v/>
      </c>
      <c r="T187" s="90" t="e">
        <f t="shared" si="40"/>
        <v>#DIV/0!</v>
      </c>
      <c r="U187" s="90" t="str">
        <f t="shared" ca="1" si="34"/>
        <v/>
      </c>
      <c r="V187" s="91" t="str">
        <f t="shared" ca="1" si="35"/>
        <v/>
      </c>
      <c r="W187" s="90" t="e">
        <f t="shared" si="41"/>
        <v>#DIV/0!</v>
      </c>
      <c r="X187" s="90" t="str">
        <f t="shared" ca="1" si="36"/>
        <v/>
      </c>
      <c r="Y187" s="91" t="str">
        <f t="shared" ca="1" si="37"/>
        <v/>
      </c>
    </row>
    <row r="188" spans="14:25" ht="14.5" x14ac:dyDescent="0.35">
      <c r="N188" s="90" t="e">
        <f t="shared" si="38"/>
        <v>#DIV/0!</v>
      </c>
      <c r="O188" s="90" t="str">
        <f t="shared" ca="1" si="30"/>
        <v/>
      </c>
      <c r="P188" s="91" t="str">
        <f t="shared" ca="1" si="31"/>
        <v/>
      </c>
      <c r="Q188" s="90" t="e">
        <f t="shared" si="39"/>
        <v>#DIV/0!</v>
      </c>
      <c r="R188" s="90" t="str">
        <f t="shared" ca="1" si="32"/>
        <v/>
      </c>
      <c r="S188" s="91" t="str">
        <f t="shared" ca="1" si="33"/>
        <v/>
      </c>
      <c r="T188" s="90" t="e">
        <f t="shared" si="40"/>
        <v>#DIV/0!</v>
      </c>
      <c r="U188" s="90" t="str">
        <f t="shared" ca="1" si="34"/>
        <v/>
      </c>
      <c r="V188" s="91" t="str">
        <f t="shared" ca="1" si="35"/>
        <v/>
      </c>
      <c r="W188" s="90" t="e">
        <f t="shared" si="41"/>
        <v>#DIV/0!</v>
      </c>
      <c r="X188" s="90" t="str">
        <f t="shared" ca="1" si="36"/>
        <v/>
      </c>
      <c r="Y188" s="91" t="str">
        <f t="shared" ca="1" si="37"/>
        <v/>
      </c>
    </row>
    <row r="189" spans="14:25" ht="14.5" x14ac:dyDescent="0.35">
      <c r="N189" s="90" t="e">
        <f t="shared" si="38"/>
        <v>#DIV/0!</v>
      </c>
      <c r="O189" s="90" t="str">
        <f t="shared" ca="1" si="30"/>
        <v/>
      </c>
      <c r="P189" s="91" t="str">
        <f t="shared" ca="1" si="31"/>
        <v/>
      </c>
      <c r="Q189" s="90" t="e">
        <f t="shared" si="39"/>
        <v>#DIV/0!</v>
      </c>
      <c r="R189" s="90" t="str">
        <f t="shared" ca="1" si="32"/>
        <v/>
      </c>
      <c r="S189" s="91" t="str">
        <f t="shared" ca="1" si="33"/>
        <v/>
      </c>
      <c r="T189" s="90" t="e">
        <f t="shared" si="40"/>
        <v>#DIV/0!</v>
      </c>
      <c r="U189" s="90" t="str">
        <f t="shared" ca="1" si="34"/>
        <v/>
      </c>
      <c r="V189" s="91" t="str">
        <f t="shared" ca="1" si="35"/>
        <v/>
      </c>
      <c r="W189" s="90" t="e">
        <f t="shared" si="41"/>
        <v>#DIV/0!</v>
      </c>
      <c r="X189" s="90" t="str">
        <f t="shared" ca="1" si="36"/>
        <v/>
      </c>
      <c r="Y189" s="91" t="str">
        <f t="shared" ca="1" si="37"/>
        <v/>
      </c>
    </row>
    <row r="190" spans="14:25" ht="14.5" x14ac:dyDescent="0.35">
      <c r="N190" s="90" t="e">
        <f t="shared" si="38"/>
        <v>#DIV/0!</v>
      </c>
      <c r="O190" s="90" t="str">
        <f t="shared" ca="1" si="30"/>
        <v/>
      </c>
      <c r="P190" s="91" t="str">
        <f t="shared" ca="1" si="31"/>
        <v/>
      </c>
      <c r="Q190" s="90" t="e">
        <f t="shared" si="39"/>
        <v>#DIV/0!</v>
      </c>
      <c r="R190" s="90" t="str">
        <f t="shared" ca="1" si="32"/>
        <v/>
      </c>
      <c r="S190" s="91" t="str">
        <f t="shared" ca="1" si="33"/>
        <v/>
      </c>
      <c r="T190" s="90" t="e">
        <f t="shared" si="40"/>
        <v>#DIV/0!</v>
      </c>
      <c r="U190" s="90" t="str">
        <f t="shared" ca="1" si="34"/>
        <v/>
      </c>
      <c r="V190" s="91" t="str">
        <f t="shared" ca="1" si="35"/>
        <v/>
      </c>
      <c r="W190" s="90" t="e">
        <f t="shared" si="41"/>
        <v>#DIV/0!</v>
      </c>
      <c r="X190" s="90" t="str">
        <f t="shared" ca="1" si="36"/>
        <v/>
      </c>
      <c r="Y190" s="91" t="str">
        <f t="shared" ca="1" si="37"/>
        <v/>
      </c>
    </row>
    <row r="191" spans="14:25" ht="14.5" x14ac:dyDescent="0.35">
      <c r="N191" s="90" t="e">
        <f t="shared" si="38"/>
        <v>#DIV/0!</v>
      </c>
      <c r="O191" s="90" t="str">
        <f t="shared" ca="1" si="30"/>
        <v/>
      </c>
      <c r="P191" s="91" t="str">
        <f t="shared" ca="1" si="31"/>
        <v/>
      </c>
      <c r="Q191" s="90" t="e">
        <f t="shared" si="39"/>
        <v>#DIV/0!</v>
      </c>
      <c r="R191" s="90" t="str">
        <f t="shared" ca="1" si="32"/>
        <v/>
      </c>
      <c r="S191" s="91" t="str">
        <f t="shared" ca="1" si="33"/>
        <v/>
      </c>
      <c r="T191" s="90" t="e">
        <f t="shared" si="40"/>
        <v>#DIV/0!</v>
      </c>
      <c r="U191" s="90" t="str">
        <f t="shared" ca="1" si="34"/>
        <v/>
      </c>
      <c r="V191" s="91" t="str">
        <f t="shared" ca="1" si="35"/>
        <v/>
      </c>
      <c r="W191" s="90" t="e">
        <f t="shared" si="41"/>
        <v>#DIV/0!</v>
      </c>
      <c r="X191" s="90" t="str">
        <f t="shared" ca="1" si="36"/>
        <v/>
      </c>
      <c r="Y191" s="91" t="str">
        <f t="shared" ca="1" si="37"/>
        <v/>
      </c>
    </row>
    <row r="192" spans="14:25" ht="14.5" x14ac:dyDescent="0.35">
      <c r="N192" s="90" t="e">
        <f t="shared" si="38"/>
        <v>#DIV/0!</v>
      </c>
      <c r="O192" s="90" t="str">
        <f t="shared" ca="1" si="30"/>
        <v/>
      </c>
      <c r="P192" s="91" t="str">
        <f t="shared" ca="1" si="31"/>
        <v/>
      </c>
      <c r="Q192" s="90" t="e">
        <f t="shared" si="39"/>
        <v>#DIV/0!</v>
      </c>
      <c r="R192" s="90" t="str">
        <f t="shared" ca="1" si="32"/>
        <v/>
      </c>
      <c r="S192" s="91" t="str">
        <f t="shared" ca="1" si="33"/>
        <v/>
      </c>
      <c r="T192" s="90" t="e">
        <f t="shared" si="40"/>
        <v>#DIV/0!</v>
      </c>
      <c r="U192" s="90" t="str">
        <f t="shared" ca="1" si="34"/>
        <v/>
      </c>
      <c r="V192" s="91" t="str">
        <f t="shared" ca="1" si="35"/>
        <v/>
      </c>
      <c r="W192" s="90" t="e">
        <f t="shared" si="41"/>
        <v>#DIV/0!</v>
      </c>
      <c r="X192" s="90" t="str">
        <f t="shared" ca="1" si="36"/>
        <v/>
      </c>
      <c r="Y192" s="91" t="str">
        <f t="shared" ca="1" si="37"/>
        <v/>
      </c>
    </row>
    <row r="193" spans="14:25" ht="14.5" x14ac:dyDescent="0.35">
      <c r="N193" s="90" t="e">
        <f t="shared" si="38"/>
        <v>#DIV/0!</v>
      </c>
      <c r="O193" s="90" t="str">
        <f t="shared" ca="1" si="30"/>
        <v/>
      </c>
      <c r="P193" s="91" t="str">
        <f t="shared" ca="1" si="31"/>
        <v/>
      </c>
      <c r="Q193" s="90" t="e">
        <f t="shared" si="39"/>
        <v>#DIV/0!</v>
      </c>
      <c r="R193" s="90" t="str">
        <f t="shared" ca="1" si="32"/>
        <v/>
      </c>
      <c r="S193" s="91" t="str">
        <f t="shared" ca="1" si="33"/>
        <v/>
      </c>
      <c r="T193" s="90" t="e">
        <f t="shared" si="40"/>
        <v>#DIV/0!</v>
      </c>
      <c r="U193" s="90" t="str">
        <f t="shared" ca="1" si="34"/>
        <v/>
      </c>
      <c r="V193" s="91" t="str">
        <f t="shared" ca="1" si="35"/>
        <v/>
      </c>
      <c r="W193" s="90" t="e">
        <f t="shared" si="41"/>
        <v>#DIV/0!</v>
      </c>
      <c r="X193" s="90" t="str">
        <f t="shared" ca="1" si="36"/>
        <v/>
      </c>
      <c r="Y193" s="91" t="str">
        <f t="shared" ca="1" si="37"/>
        <v/>
      </c>
    </row>
    <row r="194" spans="14:25" ht="14.5" x14ac:dyDescent="0.35">
      <c r="N194" s="90" t="e">
        <f t="shared" si="38"/>
        <v>#DIV/0!</v>
      </c>
      <c r="O194" s="90" t="str">
        <f t="shared" ca="1" si="30"/>
        <v/>
      </c>
      <c r="P194" s="91" t="str">
        <f t="shared" ca="1" si="31"/>
        <v/>
      </c>
      <c r="Q194" s="90" t="e">
        <f t="shared" si="39"/>
        <v>#DIV/0!</v>
      </c>
      <c r="R194" s="90" t="str">
        <f t="shared" ca="1" si="32"/>
        <v/>
      </c>
      <c r="S194" s="91" t="str">
        <f t="shared" ca="1" si="33"/>
        <v/>
      </c>
      <c r="T194" s="90" t="e">
        <f t="shared" si="40"/>
        <v>#DIV/0!</v>
      </c>
      <c r="U194" s="90" t="str">
        <f t="shared" ca="1" si="34"/>
        <v/>
      </c>
      <c r="V194" s="91" t="str">
        <f t="shared" ca="1" si="35"/>
        <v/>
      </c>
      <c r="W194" s="90" t="e">
        <f t="shared" si="41"/>
        <v>#DIV/0!</v>
      </c>
      <c r="X194" s="90" t="str">
        <f t="shared" ca="1" si="36"/>
        <v/>
      </c>
      <c r="Y194" s="91" t="str">
        <f t="shared" ca="1" si="37"/>
        <v/>
      </c>
    </row>
    <row r="195" spans="14:25" ht="14.5" x14ac:dyDescent="0.35">
      <c r="N195" s="90" t="e">
        <f t="shared" si="38"/>
        <v>#DIV/0!</v>
      </c>
      <c r="O195" s="90" t="str">
        <f t="shared" ca="1" si="30"/>
        <v/>
      </c>
      <c r="P195" s="91" t="str">
        <f t="shared" ca="1" si="31"/>
        <v/>
      </c>
      <c r="Q195" s="90" t="e">
        <f t="shared" si="39"/>
        <v>#DIV/0!</v>
      </c>
      <c r="R195" s="90" t="str">
        <f t="shared" ca="1" si="32"/>
        <v/>
      </c>
      <c r="S195" s="91" t="str">
        <f t="shared" ca="1" si="33"/>
        <v/>
      </c>
      <c r="T195" s="90" t="e">
        <f t="shared" si="40"/>
        <v>#DIV/0!</v>
      </c>
      <c r="U195" s="90" t="str">
        <f t="shared" ca="1" si="34"/>
        <v/>
      </c>
      <c r="V195" s="91" t="str">
        <f t="shared" ca="1" si="35"/>
        <v/>
      </c>
      <c r="W195" s="90" t="e">
        <f t="shared" si="41"/>
        <v>#DIV/0!</v>
      </c>
      <c r="X195" s="90" t="str">
        <f t="shared" ca="1" si="36"/>
        <v/>
      </c>
      <c r="Y195" s="91" t="str">
        <f t="shared" ca="1" si="37"/>
        <v/>
      </c>
    </row>
    <row r="196" spans="14:25" ht="14.5" x14ac:dyDescent="0.35">
      <c r="N196" s="90" t="e">
        <f t="shared" si="38"/>
        <v>#DIV/0!</v>
      </c>
      <c r="O196" s="90" t="str">
        <f t="shared" ca="1" si="30"/>
        <v/>
      </c>
      <c r="P196" s="91" t="str">
        <f t="shared" ca="1" si="31"/>
        <v/>
      </c>
      <c r="Q196" s="90" t="e">
        <f t="shared" si="39"/>
        <v>#DIV/0!</v>
      </c>
      <c r="R196" s="90" t="str">
        <f t="shared" ca="1" si="32"/>
        <v/>
      </c>
      <c r="S196" s="91" t="str">
        <f t="shared" ca="1" si="33"/>
        <v/>
      </c>
      <c r="T196" s="90" t="e">
        <f t="shared" si="40"/>
        <v>#DIV/0!</v>
      </c>
      <c r="U196" s="90" t="str">
        <f t="shared" ca="1" si="34"/>
        <v/>
      </c>
      <c r="V196" s="91" t="str">
        <f t="shared" ca="1" si="35"/>
        <v/>
      </c>
      <c r="W196" s="90" t="e">
        <f t="shared" si="41"/>
        <v>#DIV/0!</v>
      </c>
      <c r="X196" s="90" t="str">
        <f t="shared" ca="1" si="36"/>
        <v/>
      </c>
      <c r="Y196" s="91" t="str">
        <f t="shared" ca="1" si="37"/>
        <v/>
      </c>
    </row>
    <row r="197" spans="14:25" ht="14.5" x14ac:dyDescent="0.35">
      <c r="N197" s="90" t="e">
        <f t="shared" si="38"/>
        <v>#DIV/0!</v>
      </c>
      <c r="O197" s="90" t="str">
        <f t="shared" ca="1" si="30"/>
        <v/>
      </c>
      <c r="P197" s="91" t="str">
        <f t="shared" ca="1" si="31"/>
        <v/>
      </c>
      <c r="Q197" s="90" t="e">
        <f t="shared" si="39"/>
        <v>#DIV/0!</v>
      </c>
      <c r="R197" s="90" t="str">
        <f t="shared" ca="1" si="32"/>
        <v/>
      </c>
      <c r="S197" s="91" t="str">
        <f t="shared" ca="1" si="33"/>
        <v/>
      </c>
      <c r="T197" s="90" t="e">
        <f t="shared" si="40"/>
        <v>#DIV/0!</v>
      </c>
      <c r="U197" s="90" t="str">
        <f t="shared" ca="1" si="34"/>
        <v/>
      </c>
      <c r="V197" s="91" t="str">
        <f t="shared" ca="1" si="35"/>
        <v/>
      </c>
      <c r="W197" s="90" t="e">
        <f t="shared" si="41"/>
        <v>#DIV/0!</v>
      </c>
      <c r="X197" s="90" t="str">
        <f t="shared" ca="1" si="36"/>
        <v/>
      </c>
      <c r="Y197" s="91" t="str">
        <f t="shared" ca="1" si="37"/>
        <v/>
      </c>
    </row>
    <row r="198" spans="14:25" ht="14.5" x14ac:dyDescent="0.35">
      <c r="N198" s="90" t="e">
        <f t="shared" si="38"/>
        <v>#DIV/0!</v>
      </c>
      <c r="O198" s="90" t="str">
        <f t="shared" ca="1" si="30"/>
        <v/>
      </c>
      <c r="P198" s="91" t="str">
        <f t="shared" ca="1" si="31"/>
        <v/>
      </c>
      <c r="Q198" s="90" t="e">
        <f t="shared" si="39"/>
        <v>#DIV/0!</v>
      </c>
      <c r="R198" s="90" t="str">
        <f t="shared" ca="1" si="32"/>
        <v/>
      </c>
      <c r="S198" s="91" t="str">
        <f t="shared" ca="1" si="33"/>
        <v/>
      </c>
      <c r="T198" s="90" t="e">
        <f t="shared" si="40"/>
        <v>#DIV/0!</v>
      </c>
      <c r="U198" s="90" t="str">
        <f t="shared" ca="1" si="34"/>
        <v/>
      </c>
      <c r="V198" s="91" t="str">
        <f t="shared" ca="1" si="35"/>
        <v/>
      </c>
      <c r="W198" s="90" t="e">
        <f t="shared" si="41"/>
        <v>#DIV/0!</v>
      </c>
      <c r="X198" s="90" t="str">
        <f t="shared" ca="1" si="36"/>
        <v/>
      </c>
      <c r="Y198" s="91" t="str">
        <f t="shared" ca="1" si="37"/>
        <v/>
      </c>
    </row>
    <row r="199" spans="14:25" ht="14.5" x14ac:dyDescent="0.35">
      <c r="N199" s="90" t="e">
        <f t="shared" si="38"/>
        <v>#DIV/0!</v>
      </c>
      <c r="O199" s="90" t="str">
        <f t="shared" ca="1" si="30"/>
        <v/>
      </c>
      <c r="P199" s="91" t="str">
        <f t="shared" ca="1" si="31"/>
        <v/>
      </c>
      <c r="Q199" s="90" t="e">
        <f t="shared" si="39"/>
        <v>#DIV/0!</v>
      </c>
      <c r="R199" s="90" t="str">
        <f t="shared" ca="1" si="32"/>
        <v/>
      </c>
      <c r="S199" s="91" t="str">
        <f t="shared" ca="1" si="33"/>
        <v/>
      </c>
      <c r="T199" s="90" t="e">
        <f t="shared" si="40"/>
        <v>#DIV/0!</v>
      </c>
      <c r="U199" s="90" t="str">
        <f t="shared" ca="1" si="34"/>
        <v/>
      </c>
      <c r="V199" s="91" t="str">
        <f t="shared" ca="1" si="35"/>
        <v/>
      </c>
      <c r="W199" s="90" t="e">
        <f t="shared" si="41"/>
        <v>#DIV/0!</v>
      </c>
      <c r="X199" s="90" t="str">
        <f t="shared" ca="1" si="36"/>
        <v/>
      </c>
      <c r="Y199" s="91" t="str">
        <f t="shared" ca="1" si="37"/>
        <v/>
      </c>
    </row>
    <row r="200" spans="14:25" ht="14.5" x14ac:dyDescent="0.35">
      <c r="N200" s="90" t="e">
        <f t="shared" si="38"/>
        <v>#DIV/0!</v>
      </c>
      <c r="O200" s="90" t="str">
        <f t="shared" ca="1" si="30"/>
        <v/>
      </c>
      <c r="P200" s="91" t="str">
        <f t="shared" ca="1" si="31"/>
        <v/>
      </c>
      <c r="Q200" s="90" t="e">
        <f t="shared" si="39"/>
        <v>#DIV/0!</v>
      </c>
      <c r="R200" s="90" t="str">
        <f t="shared" ca="1" si="32"/>
        <v/>
      </c>
      <c r="S200" s="91" t="str">
        <f t="shared" ca="1" si="33"/>
        <v/>
      </c>
      <c r="T200" s="90" t="e">
        <f t="shared" si="40"/>
        <v>#DIV/0!</v>
      </c>
      <c r="U200" s="90" t="str">
        <f t="shared" ca="1" si="34"/>
        <v/>
      </c>
      <c r="V200" s="91" t="str">
        <f t="shared" ca="1" si="35"/>
        <v/>
      </c>
      <c r="W200" s="90" t="e">
        <f t="shared" si="41"/>
        <v>#DIV/0!</v>
      </c>
      <c r="X200" s="90" t="str">
        <f t="shared" ca="1" si="36"/>
        <v/>
      </c>
      <c r="Y200" s="91" t="str">
        <f t="shared" ca="1" si="37"/>
        <v/>
      </c>
    </row>
    <row r="201" spans="14:25" ht="14.5" x14ac:dyDescent="0.35">
      <c r="N201" s="90" t="e">
        <f t="shared" si="38"/>
        <v>#DIV/0!</v>
      </c>
      <c r="O201" s="90" t="str">
        <f t="shared" ca="1" si="30"/>
        <v/>
      </c>
      <c r="P201" s="91" t="str">
        <f t="shared" ca="1" si="31"/>
        <v/>
      </c>
      <c r="Q201" s="90" t="e">
        <f t="shared" si="39"/>
        <v>#DIV/0!</v>
      </c>
      <c r="R201" s="90" t="str">
        <f t="shared" ca="1" si="32"/>
        <v/>
      </c>
      <c r="S201" s="91" t="str">
        <f t="shared" ca="1" si="33"/>
        <v/>
      </c>
      <c r="T201" s="90" t="e">
        <f t="shared" si="40"/>
        <v>#DIV/0!</v>
      </c>
      <c r="U201" s="90" t="str">
        <f t="shared" ca="1" si="34"/>
        <v/>
      </c>
      <c r="V201" s="91" t="str">
        <f t="shared" ca="1" si="35"/>
        <v/>
      </c>
      <c r="W201" s="90" t="e">
        <f t="shared" si="41"/>
        <v>#DIV/0!</v>
      </c>
      <c r="X201" s="90" t="str">
        <f t="shared" ca="1" si="36"/>
        <v/>
      </c>
      <c r="Y201" s="91" t="str">
        <f t="shared" ca="1" si="37"/>
        <v/>
      </c>
    </row>
    <row r="202" spans="14:25" ht="14.5" x14ac:dyDescent="0.35">
      <c r="N202" s="90" t="e">
        <f t="shared" si="38"/>
        <v>#DIV/0!</v>
      </c>
      <c r="O202" s="90" t="str">
        <f t="shared" ca="1" si="30"/>
        <v/>
      </c>
      <c r="P202" s="91" t="str">
        <f t="shared" ca="1" si="31"/>
        <v/>
      </c>
      <c r="Q202" s="90" t="e">
        <f t="shared" si="39"/>
        <v>#DIV/0!</v>
      </c>
      <c r="R202" s="90" t="str">
        <f t="shared" ca="1" si="32"/>
        <v/>
      </c>
      <c r="S202" s="91" t="str">
        <f t="shared" ca="1" si="33"/>
        <v/>
      </c>
      <c r="T202" s="90" t="e">
        <f t="shared" si="40"/>
        <v>#DIV/0!</v>
      </c>
      <c r="U202" s="90" t="str">
        <f t="shared" ca="1" si="34"/>
        <v/>
      </c>
      <c r="V202" s="91" t="str">
        <f t="shared" ca="1" si="35"/>
        <v/>
      </c>
      <c r="W202" s="90" t="e">
        <f t="shared" si="41"/>
        <v>#DIV/0!</v>
      </c>
      <c r="X202" s="90" t="str">
        <f t="shared" ca="1" si="36"/>
        <v/>
      </c>
      <c r="Y202" s="91" t="str">
        <f t="shared" ca="1" si="37"/>
        <v/>
      </c>
    </row>
    <row r="203" spans="14:25" ht="14.5" x14ac:dyDescent="0.35">
      <c r="N203" s="90" t="e">
        <f t="shared" si="38"/>
        <v>#DIV/0!</v>
      </c>
      <c r="O203" s="90" t="str">
        <f t="shared" ca="1" si="30"/>
        <v/>
      </c>
      <c r="P203" s="91" t="str">
        <f t="shared" ca="1" si="31"/>
        <v/>
      </c>
      <c r="Q203" s="90" t="e">
        <f t="shared" si="39"/>
        <v>#DIV/0!</v>
      </c>
      <c r="R203" s="90" t="str">
        <f t="shared" ca="1" si="32"/>
        <v/>
      </c>
      <c r="S203" s="91" t="str">
        <f t="shared" ca="1" si="33"/>
        <v/>
      </c>
      <c r="T203" s="90" t="e">
        <f t="shared" si="40"/>
        <v>#DIV/0!</v>
      </c>
      <c r="U203" s="90" t="str">
        <f t="shared" ca="1" si="34"/>
        <v/>
      </c>
      <c r="V203" s="91" t="str">
        <f t="shared" ca="1" si="35"/>
        <v/>
      </c>
      <c r="W203" s="90" t="e">
        <f t="shared" si="41"/>
        <v>#DIV/0!</v>
      </c>
      <c r="X203" s="90" t="str">
        <f t="shared" ca="1" si="36"/>
        <v/>
      </c>
      <c r="Y203" s="91" t="str">
        <f t="shared" ca="1" si="37"/>
        <v/>
      </c>
    </row>
    <row r="204" spans="14:25" ht="14.5" x14ac:dyDescent="0.35">
      <c r="N204" s="90" t="e">
        <f t="shared" si="38"/>
        <v>#DIV/0!</v>
      </c>
      <c r="O204" s="90" t="str">
        <f t="shared" ca="1" si="30"/>
        <v/>
      </c>
      <c r="P204" s="91" t="str">
        <f t="shared" ca="1" si="31"/>
        <v/>
      </c>
      <c r="Q204" s="90" t="e">
        <f t="shared" si="39"/>
        <v>#DIV/0!</v>
      </c>
      <c r="R204" s="90" t="str">
        <f t="shared" ca="1" si="32"/>
        <v/>
      </c>
      <c r="S204" s="91" t="str">
        <f t="shared" ca="1" si="33"/>
        <v/>
      </c>
      <c r="T204" s="90" t="e">
        <f t="shared" si="40"/>
        <v>#DIV/0!</v>
      </c>
      <c r="U204" s="90" t="str">
        <f t="shared" ca="1" si="34"/>
        <v/>
      </c>
      <c r="V204" s="91" t="str">
        <f t="shared" ca="1" si="35"/>
        <v/>
      </c>
      <c r="W204" s="90" t="e">
        <f t="shared" si="41"/>
        <v>#DIV/0!</v>
      </c>
      <c r="X204" s="90" t="str">
        <f t="shared" ca="1" si="36"/>
        <v/>
      </c>
      <c r="Y204" s="91" t="str">
        <f t="shared" ca="1" si="37"/>
        <v/>
      </c>
    </row>
    <row r="205" spans="14:25" ht="14.5" x14ac:dyDescent="0.35">
      <c r="N205" s="90" t="e">
        <f t="shared" si="38"/>
        <v>#DIV/0!</v>
      </c>
      <c r="O205" s="90" t="str">
        <f t="shared" ca="1" si="30"/>
        <v/>
      </c>
      <c r="P205" s="91" t="str">
        <f t="shared" ca="1" si="31"/>
        <v/>
      </c>
      <c r="Q205" s="90" t="e">
        <f t="shared" si="39"/>
        <v>#DIV/0!</v>
      </c>
      <c r="R205" s="90" t="str">
        <f t="shared" ca="1" si="32"/>
        <v/>
      </c>
      <c r="S205" s="91" t="str">
        <f t="shared" ca="1" si="33"/>
        <v/>
      </c>
      <c r="T205" s="90" t="e">
        <f t="shared" si="40"/>
        <v>#DIV/0!</v>
      </c>
      <c r="U205" s="90" t="str">
        <f t="shared" ca="1" si="34"/>
        <v/>
      </c>
      <c r="V205" s="91" t="str">
        <f t="shared" ca="1" si="35"/>
        <v/>
      </c>
      <c r="W205" s="90" t="e">
        <f t="shared" si="41"/>
        <v>#DIV/0!</v>
      </c>
      <c r="X205" s="90" t="str">
        <f t="shared" ca="1" si="36"/>
        <v/>
      </c>
      <c r="Y205" s="91" t="str">
        <f t="shared" ca="1" si="37"/>
        <v/>
      </c>
    </row>
    <row r="206" spans="14:25" ht="14.5" x14ac:dyDescent="0.35">
      <c r="N206" s="90" t="e">
        <f t="shared" si="38"/>
        <v>#DIV/0!</v>
      </c>
      <c r="O206" s="90" t="str">
        <f t="shared" ca="1" si="30"/>
        <v/>
      </c>
      <c r="P206" s="91" t="str">
        <f t="shared" ca="1" si="31"/>
        <v/>
      </c>
      <c r="Q206" s="90" t="e">
        <f t="shared" si="39"/>
        <v>#DIV/0!</v>
      </c>
      <c r="R206" s="90" t="str">
        <f t="shared" ca="1" si="32"/>
        <v/>
      </c>
      <c r="S206" s="91" t="str">
        <f t="shared" ca="1" si="33"/>
        <v/>
      </c>
      <c r="T206" s="90" t="e">
        <f t="shared" si="40"/>
        <v>#DIV/0!</v>
      </c>
      <c r="U206" s="90" t="str">
        <f t="shared" ca="1" si="34"/>
        <v/>
      </c>
      <c r="V206" s="91" t="str">
        <f t="shared" ca="1" si="35"/>
        <v/>
      </c>
      <c r="W206" s="90" t="e">
        <f t="shared" si="41"/>
        <v>#DIV/0!</v>
      </c>
      <c r="X206" s="90" t="str">
        <f t="shared" ca="1" si="36"/>
        <v/>
      </c>
      <c r="Y206" s="91" t="str">
        <f t="shared" ca="1" si="37"/>
        <v/>
      </c>
    </row>
    <row r="207" spans="14:25" ht="14.5" x14ac:dyDescent="0.35">
      <c r="N207" s="90" t="e">
        <f t="shared" si="38"/>
        <v>#DIV/0!</v>
      </c>
      <c r="O207" s="90" t="str">
        <f t="shared" ca="1" si="30"/>
        <v/>
      </c>
      <c r="P207" s="91" t="str">
        <f t="shared" ca="1" si="31"/>
        <v/>
      </c>
      <c r="Q207" s="90" t="e">
        <f t="shared" si="39"/>
        <v>#DIV/0!</v>
      </c>
      <c r="R207" s="90" t="str">
        <f t="shared" ca="1" si="32"/>
        <v/>
      </c>
      <c r="S207" s="91" t="str">
        <f t="shared" ca="1" si="33"/>
        <v/>
      </c>
      <c r="T207" s="90" t="e">
        <f t="shared" si="40"/>
        <v>#DIV/0!</v>
      </c>
      <c r="U207" s="90" t="str">
        <f t="shared" ca="1" si="34"/>
        <v/>
      </c>
      <c r="V207" s="91" t="str">
        <f t="shared" ca="1" si="35"/>
        <v/>
      </c>
      <c r="W207" s="90" t="e">
        <f t="shared" si="41"/>
        <v>#DIV/0!</v>
      </c>
      <c r="X207" s="90" t="str">
        <f t="shared" ca="1" si="36"/>
        <v/>
      </c>
      <c r="Y207" s="91" t="str">
        <f t="shared" ca="1" si="37"/>
        <v/>
      </c>
    </row>
    <row r="208" spans="14:25" ht="14.5" x14ac:dyDescent="0.35">
      <c r="N208" s="90" t="e">
        <f t="shared" si="38"/>
        <v>#DIV/0!</v>
      </c>
      <c r="O208" s="90" t="str">
        <f t="shared" ca="1" si="30"/>
        <v/>
      </c>
      <c r="P208" s="91" t="str">
        <f t="shared" ca="1" si="31"/>
        <v/>
      </c>
      <c r="Q208" s="90" t="e">
        <f t="shared" si="39"/>
        <v>#DIV/0!</v>
      </c>
      <c r="R208" s="90" t="str">
        <f t="shared" ca="1" si="32"/>
        <v/>
      </c>
      <c r="S208" s="91" t="str">
        <f t="shared" ca="1" si="33"/>
        <v/>
      </c>
      <c r="T208" s="90" t="e">
        <f t="shared" si="40"/>
        <v>#DIV/0!</v>
      </c>
      <c r="U208" s="90" t="str">
        <f t="shared" ca="1" si="34"/>
        <v/>
      </c>
      <c r="V208" s="91" t="str">
        <f t="shared" ca="1" si="35"/>
        <v/>
      </c>
      <c r="W208" s="90" t="e">
        <f t="shared" si="41"/>
        <v>#DIV/0!</v>
      </c>
      <c r="X208" s="90" t="str">
        <f t="shared" ca="1" si="36"/>
        <v/>
      </c>
      <c r="Y208" s="91" t="str">
        <f t="shared" ca="1" si="37"/>
        <v/>
      </c>
    </row>
    <row r="209" spans="14:25" ht="14.5" x14ac:dyDescent="0.35">
      <c r="N209" s="90" t="e">
        <f t="shared" si="38"/>
        <v>#DIV/0!</v>
      </c>
      <c r="O209" s="90" t="str">
        <f t="shared" ca="1" si="30"/>
        <v/>
      </c>
      <c r="P209" s="91" t="str">
        <f t="shared" ca="1" si="31"/>
        <v/>
      </c>
      <c r="Q209" s="90" t="e">
        <f t="shared" si="39"/>
        <v>#DIV/0!</v>
      </c>
      <c r="R209" s="90" t="str">
        <f t="shared" ca="1" si="32"/>
        <v/>
      </c>
      <c r="S209" s="91" t="str">
        <f t="shared" ca="1" si="33"/>
        <v/>
      </c>
      <c r="T209" s="90" t="e">
        <f t="shared" si="40"/>
        <v>#DIV/0!</v>
      </c>
      <c r="U209" s="90" t="str">
        <f t="shared" ca="1" si="34"/>
        <v/>
      </c>
      <c r="V209" s="91" t="str">
        <f t="shared" ca="1" si="35"/>
        <v/>
      </c>
      <c r="W209" s="90" t="e">
        <f t="shared" si="41"/>
        <v>#DIV/0!</v>
      </c>
      <c r="X209" s="90" t="str">
        <f t="shared" ca="1" si="36"/>
        <v/>
      </c>
      <c r="Y209" s="91" t="str">
        <f t="shared" ca="1" si="37"/>
        <v/>
      </c>
    </row>
    <row r="210" spans="14:25" ht="14.5" x14ac:dyDescent="0.35">
      <c r="N210" s="90" t="e">
        <f t="shared" si="38"/>
        <v>#DIV/0!</v>
      </c>
      <c r="O210" s="90" t="str">
        <f t="shared" ref="O210:O273" ca="1" si="42">IF(ISNUMBER(N210),RANDBETWEEN(1,$R$14),"")</f>
        <v/>
      </c>
      <c r="P210" s="91" t="str">
        <f t="shared" ref="P210:P273" ca="1" si="43">IF(O210="","",COUNTIF($O$18:$O$417,O210)+COUNTIF($R$18:$R$417,O210)+COUNTIF($U$18:$U$417,O210)+COUNTIF($X$18:$X$417,O210))</f>
        <v/>
      </c>
      <c r="Q210" s="90" t="e">
        <f t="shared" si="39"/>
        <v>#DIV/0!</v>
      </c>
      <c r="R210" s="90" t="str">
        <f t="shared" ref="R210:R273" ca="1" si="44">IF(ISNUMBER(Q210),RANDBETWEEN(1,$R$14),"")</f>
        <v/>
      </c>
      <c r="S210" s="91" t="str">
        <f t="shared" ref="S210:S273" ca="1" si="45">IF(R210="","",COUNTIF($O$18:$O$417,R210)+COUNTIF($R$18:$R$417,R210)+COUNTIF($U$18:$U$417,R210)+COUNTIF($X$18:$X$417,R210))</f>
        <v/>
      </c>
      <c r="T210" s="90" t="e">
        <f t="shared" si="40"/>
        <v>#DIV/0!</v>
      </c>
      <c r="U210" s="90" t="str">
        <f t="shared" ref="U210:U273" ca="1" si="46">IF(ISNUMBER(T210),RANDBETWEEN(1,$R$14),"")</f>
        <v/>
      </c>
      <c r="V210" s="91" t="str">
        <f t="shared" ref="V210:V273" ca="1" si="47">IF(U210="","",COUNTIF($O$18:$O$417,U210)+COUNTIF($R$18:$R$417,U210)+COUNTIF($U$18:$U$417,U210)+COUNTIF($X$18:$X$417,U210))</f>
        <v/>
      </c>
      <c r="W210" s="90" t="e">
        <f t="shared" si="41"/>
        <v>#DIV/0!</v>
      </c>
      <c r="X210" s="90" t="str">
        <f t="shared" ref="X210:X273" ca="1" si="48">IF(ISNUMBER(W210),RANDBETWEEN(1,$R$14),"")</f>
        <v/>
      </c>
      <c r="Y210" s="91" t="str">
        <f t="shared" ref="Y210:Y273" ca="1" si="49">IF(X210="","",COUNTIF($O$18:$O$417,X210)+COUNTIF($R$18:$R$417,X210)+COUNTIF($U$18:$U$417,X210)+COUNTIF($X$18:$X$417,X210))</f>
        <v/>
      </c>
    </row>
    <row r="211" spans="14:25" ht="14.5" x14ac:dyDescent="0.35">
      <c r="N211" s="90" t="e">
        <f t="shared" si="38"/>
        <v>#DIV/0!</v>
      </c>
      <c r="O211" s="90" t="str">
        <f t="shared" ca="1" si="42"/>
        <v/>
      </c>
      <c r="P211" s="91" t="str">
        <f t="shared" ca="1" si="43"/>
        <v/>
      </c>
      <c r="Q211" s="90" t="e">
        <f t="shared" si="39"/>
        <v>#DIV/0!</v>
      </c>
      <c r="R211" s="90" t="str">
        <f t="shared" ca="1" si="44"/>
        <v/>
      </c>
      <c r="S211" s="91" t="str">
        <f t="shared" ca="1" si="45"/>
        <v/>
      </c>
      <c r="T211" s="90" t="e">
        <f t="shared" si="40"/>
        <v>#DIV/0!</v>
      </c>
      <c r="U211" s="90" t="str">
        <f t="shared" ca="1" si="46"/>
        <v/>
      </c>
      <c r="V211" s="91" t="str">
        <f t="shared" ca="1" si="47"/>
        <v/>
      </c>
      <c r="W211" s="90" t="e">
        <f t="shared" si="41"/>
        <v>#DIV/0!</v>
      </c>
      <c r="X211" s="90" t="str">
        <f t="shared" ca="1" si="48"/>
        <v/>
      </c>
      <c r="Y211" s="91" t="str">
        <f t="shared" ca="1" si="49"/>
        <v/>
      </c>
    </row>
    <row r="212" spans="14:25" ht="14.5" x14ac:dyDescent="0.35">
      <c r="N212" s="90" t="e">
        <f t="shared" si="38"/>
        <v>#DIV/0!</v>
      </c>
      <c r="O212" s="90" t="str">
        <f t="shared" ca="1" si="42"/>
        <v/>
      </c>
      <c r="P212" s="91" t="str">
        <f t="shared" ca="1" si="43"/>
        <v/>
      </c>
      <c r="Q212" s="90" t="e">
        <f t="shared" si="39"/>
        <v>#DIV/0!</v>
      </c>
      <c r="R212" s="90" t="str">
        <f t="shared" ca="1" si="44"/>
        <v/>
      </c>
      <c r="S212" s="91" t="str">
        <f t="shared" ca="1" si="45"/>
        <v/>
      </c>
      <c r="T212" s="90" t="e">
        <f t="shared" si="40"/>
        <v>#DIV/0!</v>
      </c>
      <c r="U212" s="90" t="str">
        <f t="shared" ca="1" si="46"/>
        <v/>
      </c>
      <c r="V212" s="91" t="str">
        <f t="shared" ca="1" si="47"/>
        <v/>
      </c>
      <c r="W212" s="90" t="e">
        <f t="shared" si="41"/>
        <v>#DIV/0!</v>
      </c>
      <c r="X212" s="90" t="str">
        <f t="shared" ca="1" si="48"/>
        <v/>
      </c>
      <c r="Y212" s="91" t="str">
        <f t="shared" ca="1" si="49"/>
        <v/>
      </c>
    </row>
    <row r="213" spans="14:25" ht="14.5" x14ac:dyDescent="0.35">
      <c r="N213" s="90" t="e">
        <f t="shared" si="38"/>
        <v>#DIV/0!</v>
      </c>
      <c r="O213" s="90" t="str">
        <f t="shared" ca="1" si="42"/>
        <v/>
      </c>
      <c r="P213" s="91" t="str">
        <f t="shared" ca="1" si="43"/>
        <v/>
      </c>
      <c r="Q213" s="90" t="e">
        <f t="shared" si="39"/>
        <v>#DIV/0!</v>
      </c>
      <c r="R213" s="90" t="str">
        <f t="shared" ca="1" si="44"/>
        <v/>
      </c>
      <c r="S213" s="91" t="str">
        <f t="shared" ca="1" si="45"/>
        <v/>
      </c>
      <c r="T213" s="90" t="e">
        <f t="shared" si="40"/>
        <v>#DIV/0!</v>
      </c>
      <c r="U213" s="90" t="str">
        <f t="shared" ca="1" si="46"/>
        <v/>
      </c>
      <c r="V213" s="91" t="str">
        <f t="shared" ca="1" si="47"/>
        <v/>
      </c>
      <c r="W213" s="90" t="e">
        <f t="shared" si="41"/>
        <v>#DIV/0!</v>
      </c>
      <c r="X213" s="90" t="str">
        <f t="shared" ca="1" si="48"/>
        <v/>
      </c>
      <c r="Y213" s="91" t="str">
        <f t="shared" ca="1" si="49"/>
        <v/>
      </c>
    </row>
    <row r="214" spans="14:25" ht="14.5" x14ac:dyDescent="0.35">
      <c r="N214" s="90" t="e">
        <f t="shared" si="38"/>
        <v>#DIV/0!</v>
      </c>
      <c r="O214" s="90" t="str">
        <f t="shared" ca="1" si="42"/>
        <v/>
      </c>
      <c r="P214" s="91" t="str">
        <f t="shared" ca="1" si="43"/>
        <v/>
      </c>
      <c r="Q214" s="90" t="e">
        <f t="shared" si="39"/>
        <v>#DIV/0!</v>
      </c>
      <c r="R214" s="90" t="str">
        <f t="shared" ca="1" si="44"/>
        <v/>
      </c>
      <c r="S214" s="91" t="str">
        <f t="shared" ca="1" si="45"/>
        <v/>
      </c>
      <c r="T214" s="90" t="e">
        <f t="shared" si="40"/>
        <v>#DIV/0!</v>
      </c>
      <c r="U214" s="90" t="str">
        <f t="shared" ca="1" si="46"/>
        <v/>
      </c>
      <c r="V214" s="91" t="str">
        <f t="shared" ca="1" si="47"/>
        <v/>
      </c>
      <c r="W214" s="90" t="e">
        <f t="shared" si="41"/>
        <v>#DIV/0!</v>
      </c>
      <c r="X214" s="90" t="str">
        <f t="shared" ca="1" si="48"/>
        <v/>
      </c>
      <c r="Y214" s="91" t="str">
        <f t="shared" ca="1" si="49"/>
        <v/>
      </c>
    </row>
    <row r="215" spans="14:25" ht="14.5" x14ac:dyDescent="0.35">
      <c r="N215" s="90" t="e">
        <f t="shared" si="38"/>
        <v>#DIV/0!</v>
      </c>
      <c r="O215" s="90" t="str">
        <f t="shared" ca="1" si="42"/>
        <v/>
      </c>
      <c r="P215" s="91" t="str">
        <f t="shared" ca="1" si="43"/>
        <v/>
      </c>
      <c r="Q215" s="90" t="e">
        <f t="shared" si="39"/>
        <v>#DIV/0!</v>
      </c>
      <c r="R215" s="90" t="str">
        <f t="shared" ca="1" si="44"/>
        <v/>
      </c>
      <c r="S215" s="91" t="str">
        <f t="shared" ca="1" si="45"/>
        <v/>
      </c>
      <c r="T215" s="90" t="e">
        <f t="shared" si="40"/>
        <v>#DIV/0!</v>
      </c>
      <c r="U215" s="90" t="str">
        <f t="shared" ca="1" si="46"/>
        <v/>
      </c>
      <c r="V215" s="91" t="str">
        <f t="shared" ca="1" si="47"/>
        <v/>
      </c>
      <c r="W215" s="90" t="e">
        <f t="shared" si="41"/>
        <v>#DIV/0!</v>
      </c>
      <c r="X215" s="90" t="str">
        <f t="shared" ca="1" si="48"/>
        <v/>
      </c>
      <c r="Y215" s="91" t="str">
        <f t="shared" ca="1" si="49"/>
        <v/>
      </c>
    </row>
    <row r="216" spans="14:25" ht="14.5" x14ac:dyDescent="0.35">
      <c r="N216" s="90" t="e">
        <f t="shared" si="38"/>
        <v>#DIV/0!</v>
      </c>
      <c r="O216" s="90" t="str">
        <f t="shared" ca="1" si="42"/>
        <v/>
      </c>
      <c r="P216" s="91" t="str">
        <f t="shared" ca="1" si="43"/>
        <v/>
      </c>
      <c r="Q216" s="90" t="e">
        <f t="shared" si="39"/>
        <v>#DIV/0!</v>
      </c>
      <c r="R216" s="90" t="str">
        <f t="shared" ca="1" si="44"/>
        <v/>
      </c>
      <c r="S216" s="91" t="str">
        <f t="shared" ca="1" si="45"/>
        <v/>
      </c>
      <c r="T216" s="90" t="e">
        <f t="shared" si="40"/>
        <v>#DIV/0!</v>
      </c>
      <c r="U216" s="90" t="str">
        <f t="shared" ca="1" si="46"/>
        <v/>
      </c>
      <c r="V216" s="91" t="str">
        <f t="shared" ca="1" si="47"/>
        <v/>
      </c>
      <c r="W216" s="90" t="e">
        <f t="shared" si="41"/>
        <v>#DIV/0!</v>
      </c>
      <c r="X216" s="90" t="str">
        <f t="shared" ca="1" si="48"/>
        <v/>
      </c>
      <c r="Y216" s="91" t="str">
        <f t="shared" ca="1" si="49"/>
        <v/>
      </c>
    </row>
    <row r="217" spans="14:25" ht="14.5" x14ac:dyDescent="0.35">
      <c r="N217" s="90" t="e">
        <f t="shared" si="38"/>
        <v>#DIV/0!</v>
      </c>
      <c r="O217" s="90" t="str">
        <f t="shared" ca="1" si="42"/>
        <v/>
      </c>
      <c r="P217" s="91" t="str">
        <f t="shared" ca="1" si="43"/>
        <v/>
      </c>
      <c r="Q217" s="90" t="e">
        <f t="shared" si="39"/>
        <v>#DIV/0!</v>
      </c>
      <c r="R217" s="90" t="str">
        <f t="shared" ca="1" si="44"/>
        <v/>
      </c>
      <c r="S217" s="91" t="str">
        <f t="shared" ca="1" si="45"/>
        <v/>
      </c>
      <c r="T217" s="90" t="e">
        <f t="shared" si="40"/>
        <v>#DIV/0!</v>
      </c>
      <c r="U217" s="90" t="str">
        <f t="shared" ca="1" si="46"/>
        <v/>
      </c>
      <c r="V217" s="91" t="str">
        <f t="shared" ca="1" si="47"/>
        <v/>
      </c>
      <c r="W217" s="90" t="e">
        <f t="shared" si="41"/>
        <v>#DIV/0!</v>
      </c>
      <c r="X217" s="90" t="str">
        <f t="shared" ca="1" si="48"/>
        <v/>
      </c>
      <c r="Y217" s="91" t="str">
        <f t="shared" ca="1" si="49"/>
        <v/>
      </c>
    </row>
    <row r="218" spans="14:25" ht="14.5" x14ac:dyDescent="0.35">
      <c r="N218" s="90" t="e">
        <f>IF(AND(W217&lt;$B$24,W217&lt;$R$14),W217+1,"")</f>
        <v>#DIV/0!</v>
      </c>
      <c r="O218" s="90" t="str">
        <f t="shared" ca="1" si="42"/>
        <v/>
      </c>
      <c r="P218" s="91" t="str">
        <f t="shared" ca="1" si="43"/>
        <v/>
      </c>
      <c r="Q218" s="90" t="e">
        <f>IF(AND(N267&lt;$B$24,N267&lt;$R$14),N267+1,"")</f>
        <v>#DIV/0!</v>
      </c>
      <c r="R218" s="90" t="str">
        <f t="shared" ca="1" si="44"/>
        <v/>
      </c>
      <c r="S218" s="91" t="str">
        <f t="shared" ca="1" si="45"/>
        <v/>
      </c>
      <c r="T218" s="90" t="e">
        <f>IF(AND(Q267&lt;$B$24,Q267&lt;$R$14),Q267+1,"")</f>
        <v>#DIV/0!</v>
      </c>
      <c r="U218" s="90" t="str">
        <f t="shared" ca="1" si="46"/>
        <v/>
      </c>
      <c r="V218" s="91" t="str">
        <f t="shared" ca="1" si="47"/>
        <v/>
      </c>
      <c r="W218" s="90" t="e">
        <f>IF(AND(T267&lt;$B$24,T267&lt;$R$14),T267+1,"")</f>
        <v>#DIV/0!</v>
      </c>
      <c r="X218" s="90" t="str">
        <f t="shared" ca="1" si="48"/>
        <v/>
      </c>
      <c r="Y218" s="91" t="str">
        <f t="shared" ca="1" si="49"/>
        <v/>
      </c>
    </row>
    <row r="219" spans="14:25" ht="14.5" x14ac:dyDescent="0.35">
      <c r="N219" s="90" t="e">
        <f t="shared" ref="N219:N267" si="50">IF(AND(N218&lt;$B$24,N218&lt;$R$14),N218+1,"")</f>
        <v>#DIV/0!</v>
      </c>
      <c r="O219" s="90" t="str">
        <f t="shared" ca="1" si="42"/>
        <v/>
      </c>
      <c r="P219" s="91" t="str">
        <f t="shared" ca="1" si="43"/>
        <v/>
      </c>
      <c r="Q219" s="90" t="e">
        <f t="shared" ref="Q219:Q267" si="51">IF(AND(Q218&lt;$B$24,Q218&lt;$R$14),Q218+1,"")</f>
        <v>#DIV/0!</v>
      </c>
      <c r="R219" s="90" t="str">
        <f t="shared" ca="1" si="44"/>
        <v/>
      </c>
      <c r="S219" s="91" t="str">
        <f t="shared" ca="1" si="45"/>
        <v/>
      </c>
      <c r="T219" s="90" t="e">
        <f t="shared" ref="T219:T267" si="52">IF(AND(T218&lt;$B$24,T218&lt;$R$14),T218+1,"")</f>
        <v>#DIV/0!</v>
      </c>
      <c r="U219" s="90" t="str">
        <f t="shared" ca="1" si="46"/>
        <v/>
      </c>
      <c r="V219" s="91" t="str">
        <f t="shared" ca="1" si="47"/>
        <v/>
      </c>
      <c r="W219" s="90" t="e">
        <f t="shared" ref="W219:W267" si="53">IF(AND(W218&lt;$B$24,W218&lt;$R$14),W218+1,"")</f>
        <v>#DIV/0!</v>
      </c>
      <c r="X219" s="90" t="str">
        <f t="shared" ca="1" si="48"/>
        <v/>
      </c>
      <c r="Y219" s="91" t="str">
        <f t="shared" ca="1" si="49"/>
        <v/>
      </c>
    </row>
    <row r="220" spans="14:25" ht="14.5" x14ac:dyDescent="0.35">
      <c r="N220" s="90" t="e">
        <f t="shared" si="50"/>
        <v>#DIV/0!</v>
      </c>
      <c r="O220" s="90" t="str">
        <f t="shared" ca="1" si="42"/>
        <v/>
      </c>
      <c r="P220" s="91" t="str">
        <f t="shared" ca="1" si="43"/>
        <v/>
      </c>
      <c r="Q220" s="90" t="e">
        <f t="shared" si="51"/>
        <v>#DIV/0!</v>
      </c>
      <c r="R220" s="90" t="str">
        <f t="shared" ca="1" si="44"/>
        <v/>
      </c>
      <c r="S220" s="91" t="str">
        <f t="shared" ca="1" si="45"/>
        <v/>
      </c>
      <c r="T220" s="90" t="e">
        <f t="shared" si="52"/>
        <v>#DIV/0!</v>
      </c>
      <c r="U220" s="90" t="str">
        <f t="shared" ca="1" si="46"/>
        <v/>
      </c>
      <c r="V220" s="91" t="str">
        <f t="shared" ca="1" si="47"/>
        <v/>
      </c>
      <c r="W220" s="90" t="e">
        <f t="shared" si="53"/>
        <v>#DIV/0!</v>
      </c>
      <c r="X220" s="90" t="str">
        <f t="shared" ca="1" si="48"/>
        <v/>
      </c>
      <c r="Y220" s="91" t="str">
        <f t="shared" ca="1" si="49"/>
        <v/>
      </c>
    </row>
    <row r="221" spans="14:25" ht="14.5" x14ac:dyDescent="0.35">
      <c r="N221" s="90" t="e">
        <f t="shared" si="50"/>
        <v>#DIV/0!</v>
      </c>
      <c r="O221" s="90" t="str">
        <f t="shared" ca="1" si="42"/>
        <v/>
      </c>
      <c r="P221" s="91" t="str">
        <f t="shared" ca="1" si="43"/>
        <v/>
      </c>
      <c r="Q221" s="90" t="e">
        <f t="shared" si="51"/>
        <v>#DIV/0!</v>
      </c>
      <c r="R221" s="90" t="str">
        <f t="shared" ca="1" si="44"/>
        <v/>
      </c>
      <c r="S221" s="91" t="str">
        <f t="shared" ca="1" si="45"/>
        <v/>
      </c>
      <c r="T221" s="90" t="e">
        <f t="shared" si="52"/>
        <v>#DIV/0!</v>
      </c>
      <c r="U221" s="90" t="str">
        <f t="shared" ca="1" si="46"/>
        <v/>
      </c>
      <c r="V221" s="91" t="str">
        <f t="shared" ca="1" si="47"/>
        <v/>
      </c>
      <c r="W221" s="90" t="e">
        <f t="shared" si="53"/>
        <v>#DIV/0!</v>
      </c>
      <c r="X221" s="90" t="str">
        <f t="shared" ca="1" si="48"/>
        <v/>
      </c>
      <c r="Y221" s="91" t="str">
        <f t="shared" ca="1" si="49"/>
        <v/>
      </c>
    </row>
    <row r="222" spans="14:25" ht="14.5" x14ac:dyDescent="0.35">
      <c r="N222" s="90" t="e">
        <f t="shared" si="50"/>
        <v>#DIV/0!</v>
      </c>
      <c r="O222" s="90" t="str">
        <f t="shared" ca="1" si="42"/>
        <v/>
      </c>
      <c r="P222" s="91" t="str">
        <f t="shared" ca="1" si="43"/>
        <v/>
      </c>
      <c r="Q222" s="90" t="e">
        <f t="shared" si="51"/>
        <v>#DIV/0!</v>
      </c>
      <c r="R222" s="90" t="str">
        <f t="shared" ca="1" si="44"/>
        <v/>
      </c>
      <c r="S222" s="91" t="str">
        <f t="shared" ca="1" si="45"/>
        <v/>
      </c>
      <c r="T222" s="90" t="e">
        <f t="shared" si="52"/>
        <v>#DIV/0!</v>
      </c>
      <c r="U222" s="90" t="str">
        <f t="shared" ca="1" si="46"/>
        <v/>
      </c>
      <c r="V222" s="91" t="str">
        <f t="shared" ca="1" si="47"/>
        <v/>
      </c>
      <c r="W222" s="90" t="e">
        <f t="shared" si="53"/>
        <v>#DIV/0!</v>
      </c>
      <c r="X222" s="90" t="str">
        <f t="shared" ca="1" si="48"/>
        <v/>
      </c>
      <c r="Y222" s="91" t="str">
        <f t="shared" ca="1" si="49"/>
        <v/>
      </c>
    </row>
    <row r="223" spans="14:25" ht="14.5" x14ac:dyDescent="0.35">
      <c r="N223" s="90" t="e">
        <f t="shared" si="50"/>
        <v>#DIV/0!</v>
      </c>
      <c r="O223" s="90" t="str">
        <f t="shared" ca="1" si="42"/>
        <v/>
      </c>
      <c r="P223" s="91" t="str">
        <f t="shared" ca="1" si="43"/>
        <v/>
      </c>
      <c r="Q223" s="90" t="e">
        <f t="shared" si="51"/>
        <v>#DIV/0!</v>
      </c>
      <c r="R223" s="90" t="str">
        <f t="shared" ca="1" si="44"/>
        <v/>
      </c>
      <c r="S223" s="91" t="str">
        <f t="shared" ca="1" si="45"/>
        <v/>
      </c>
      <c r="T223" s="90" t="e">
        <f t="shared" si="52"/>
        <v>#DIV/0!</v>
      </c>
      <c r="U223" s="90" t="str">
        <f t="shared" ca="1" si="46"/>
        <v/>
      </c>
      <c r="V223" s="91" t="str">
        <f t="shared" ca="1" si="47"/>
        <v/>
      </c>
      <c r="W223" s="90" t="e">
        <f t="shared" si="53"/>
        <v>#DIV/0!</v>
      </c>
      <c r="X223" s="90" t="str">
        <f t="shared" ca="1" si="48"/>
        <v/>
      </c>
      <c r="Y223" s="91" t="str">
        <f t="shared" ca="1" si="49"/>
        <v/>
      </c>
    </row>
    <row r="224" spans="14:25" ht="14.5" x14ac:dyDescent="0.35">
      <c r="N224" s="90" t="e">
        <f t="shared" si="50"/>
        <v>#DIV/0!</v>
      </c>
      <c r="O224" s="90" t="str">
        <f t="shared" ca="1" si="42"/>
        <v/>
      </c>
      <c r="P224" s="91" t="str">
        <f t="shared" ca="1" si="43"/>
        <v/>
      </c>
      <c r="Q224" s="90" t="e">
        <f t="shared" si="51"/>
        <v>#DIV/0!</v>
      </c>
      <c r="R224" s="90" t="str">
        <f t="shared" ca="1" si="44"/>
        <v/>
      </c>
      <c r="S224" s="91" t="str">
        <f t="shared" ca="1" si="45"/>
        <v/>
      </c>
      <c r="T224" s="90" t="e">
        <f t="shared" si="52"/>
        <v>#DIV/0!</v>
      </c>
      <c r="U224" s="90" t="str">
        <f t="shared" ca="1" si="46"/>
        <v/>
      </c>
      <c r="V224" s="91" t="str">
        <f t="shared" ca="1" si="47"/>
        <v/>
      </c>
      <c r="W224" s="90" t="e">
        <f t="shared" si="53"/>
        <v>#DIV/0!</v>
      </c>
      <c r="X224" s="90" t="str">
        <f t="shared" ca="1" si="48"/>
        <v/>
      </c>
      <c r="Y224" s="91" t="str">
        <f t="shared" ca="1" si="49"/>
        <v/>
      </c>
    </row>
    <row r="225" spans="14:25" ht="14.5" x14ac:dyDescent="0.35">
      <c r="N225" s="90" t="e">
        <f t="shared" si="50"/>
        <v>#DIV/0!</v>
      </c>
      <c r="O225" s="90" t="str">
        <f t="shared" ca="1" si="42"/>
        <v/>
      </c>
      <c r="P225" s="91" t="str">
        <f t="shared" ca="1" si="43"/>
        <v/>
      </c>
      <c r="Q225" s="90" t="e">
        <f t="shared" si="51"/>
        <v>#DIV/0!</v>
      </c>
      <c r="R225" s="90" t="str">
        <f t="shared" ca="1" si="44"/>
        <v/>
      </c>
      <c r="S225" s="91" t="str">
        <f t="shared" ca="1" si="45"/>
        <v/>
      </c>
      <c r="T225" s="90" t="e">
        <f t="shared" si="52"/>
        <v>#DIV/0!</v>
      </c>
      <c r="U225" s="90" t="str">
        <f t="shared" ca="1" si="46"/>
        <v/>
      </c>
      <c r="V225" s="91" t="str">
        <f t="shared" ca="1" si="47"/>
        <v/>
      </c>
      <c r="W225" s="90" t="e">
        <f t="shared" si="53"/>
        <v>#DIV/0!</v>
      </c>
      <c r="X225" s="90" t="str">
        <f t="shared" ca="1" si="48"/>
        <v/>
      </c>
      <c r="Y225" s="91" t="str">
        <f t="shared" ca="1" si="49"/>
        <v/>
      </c>
    </row>
    <row r="226" spans="14:25" ht="14.5" x14ac:dyDescent="0.35">
      <c r="N226" s="90" t="e">
        <f t="shared" si="50"/>
        <v>#DIV/0!</v>
      </c>
      <c r="O226" s="90" t="str">
        <f t="shared" ca="1" si="42"/>
        <v/>
      </c>
      <c r="P226" s="91" t="str">
        <f t="shared" ca="1" si="43"/>
        <v/>
      </c>
      <c r="Q226" s="90" t="e">
        <f t="shared" si="51"/>
        <v>#DIV/0!</v>
      </c>
      <c r="R226" s="90" t="str">
        <f t="shared" ca="1" si="44"/>
        <v/>
      </c>
      <c r="S226" s="91" t="str">
        <f t="shared" ca="1" si="45"/>
        <v/>
      </c>
      <c r="T226" s="90" t="e">
        <f t="shared" si="52"/>
        <v>#DIV/0!</v>
      </c>
      <c r="U226" s="90" t="str">
        <f t="shared" ca="1" si="46"/>
        <v/>
      </c>
      <c r="V226" s="91" t="str">
        <f t="shared" ca="1" si="47"/>
        <v/>
      </c>
      <c r="W226" s="90" t="e">
        <f t="shared" si="53"/>
        <v>#DIV/0!</v>
      </c>
      <c r="X226" s="90" t="str">
        <f t="shared" ca="1" si="48"/>
        <v/>
      </c>
      <c r="Y226" s="91" t="str">
        <f t="shared" ca="1" si="49"/>
        <v/>
      </c>
    </row>
    <row r="227" spans="14:25" ht="14.5" x14ac:dyDescent="0.35">
      <c r="N227" s="90" t="e">
        <f t="shared" si="50"/>
        <v>#DIV/0!</v>
      </c>
      <c r="O227" s="90" t="str">
        <f t="shared" ca="1" si="42"/>
        <v/>
      </c>
      <c r="P227" s="91" t="str">
        <f t="shared" ca="1" si="43"/>
        <v/>
      </c>
      <c r="Q227" s="90" t="e">
        <f t="shared" si="51"/>
        <v>#DIV/0!</v>
      </c>
      <c r="R227" s="90" t="str">
        <f t="shared" ca="1" si="44"/>
        <v/>
      </c>
      <c r="S227" s="91" t="str">
        <f t="shared" ca="1" si="45"/>
        <v/>
      </c>
      <c r="T227" s="90" t="e">
        <f t="shared" si="52"/>
        <v>#DIV/0!</v>
      </c>
      <c r="U227" s="90" t="str">
        <f t="shared" ca="1" si="46"/>
        <v/>
      </c>
      <c r="V227" s="91" t="str">
        <f t="shared" ca="1" si="47"/>
        <v/>
      </c>
      <c r="W227" s="90" t="e">
        <f t="shared" si="53"/>
        <v>#DIV/0!</v>
      </c>
      <c r="X227" s="90" t="str">
        <f t="shared" ca="1" si="48"/>
        <v/>
      </c>
      <c r="Y227" s="91" t="str">
        <f t="shared" ca="1" si="49"/>
        <v/>
      </c>
    </row>
    <row r="228" spans="14:25" ht="14.5" x14ac:dyDescent="0.35">
      <c r="N228" s="90" t="e">
        <f t="shared" si="50"/>
        <v>#DIV/0!</v>
      </c>
      <c r="O228" s="90" t="str">
        <f t="shared" ca="1" si="42"/>
        <v/>
      </c>
      <c r="P228" s="91" t="str">
        <f t="shared" ca="1" si="43"/>
        <v/>
      </c>
      <c r="Q228" s="90" t="e">
        <f t="shared" si="51"/>
        <v>#DIV/0!</v>
      </c>
      <c r="R228" s="90" t="str">
        <f t="shared" ca="1" si="44"/>
        <v/>
      </c>
      <c r="S228" s="91" t="str">
        <f t="shared" ca="1" si="45"/>
        <v/>
      </c>
      <c r="T228" s="90" t="e">
        <f t="shared" si="52"/>
        <v>#DIV/0!</v>
      </c>
      <c r="U228" s="90" t="str">
        <f t="shared" ca="1" si="46"/>
        <v/>
      </c>
      <c r="V228" s="91" t="str">
        <f t="shared" ca="1" si="47"/>
        <v/>
      </c>
      <c r="W228" s="90" t="e">
        <f t="shared" si="53"/>
        <v>#DIV/0!</v>
      </c>
      <c r="X228" s="90" t="str">
        <f t="shared" ca="1" si="48"/>
        <v/>
      </c>
      <c r="Y228" s="91" t="str">
        <f t="shared" ca="1" si="49"/>
        <v/>
      </c>
    </row>
    <row r="229" spans="14:25" ht="14.5" x14ac:dyDescent="0.35">
      <c r="N229" s="90" t="e">
        <f t="shared" si="50"/>
        <v>#DIV/0!</v>
      </c>
      <c r="O229" s="90" t="str">
        <f t="shared" ca="1" si="42"/>
        <v/>
      </c>
      <c r="P229" s="91" t="str">
        <f t="shared" ca="1" si="43"/>
        <v/>
      </c>
      <c r="Q229" s="90" t="e">
        <f t="shared" si="51"/>
        <v>#DIV/0!</v>
      </c>
      <c r="R229" s="90" t="str">
        <f t="shared" ca="1" si="44"/>
        <v/>
      </c>
      <c r="S229" s="91" t="str">
        <f t="shared" ca="1" si="45"/>
        <v/>
      </c>
      <c r="T229" s="90" t="e">
        <f t="shared" si="52"/>
        <v>#DIV/0!</v>
      </c>
      <c r="U229" s="90" t="str">
        <f t="shared" ca="1" si="46"/>
        <v/>
      </c>
      <c r="V229" s="91" t="str">
        <f t="shared" ca="1" si="47"/>
        <v/>
      </c>
      <c r="W229" s="90" t="e">
        <f t="shared" si="53"/>
        <v>#DIV/0!</v>
      </c>
      <c r="X229" s="90" t="str">
        <f t="shared" ca="1" si="48"/>
        <v/>
      </c>
      <c r="Y229" s="91" t="str">
        <f t="shared" ca="1" si="49"/>
        <v/>
      </c>
    </row>
    <row r="230" spans="14:25" ht="14.5" x14ac:dyDescent="0.35">
      <c r="N230" s="90" t="e">
        <f t="shared" si="50"/>
        <v>#DIV/0!</v>
      </c>
      <c r="O230" s="90" t="str">
        <f t="shared" ca="1" si="42"/>
        <v/>
      </c>
      <c r="P230" s="91" t="str">
        <f t="shared" ca="1" si="43"/>
        <v/>
      </c>
      <c r="Q230" s="90" t="e">
        <f t="shared" si="51"/>
        <v>#DIV/0!</v>
      </c>
      <c r="R230" s="90" t="str">
        <f t="shared" ca="1" si="44"/>
        <v/>
      </c>
      <c r="S230" s="91" t="str">
        <f t="shared" ca="1" si="45"/>
        <v/>
      </c>
      <c r="T230" s="90" t="e">
        <f t="shared" si="52"/>
        <v>#DIV/0!</v>
      </c>
      <c r="U230" s="90" t="str">
        <f t="shared" ca="1" si="46"/>
        <v/>
      </c>
      <c r="V230" s="91" t="str">
        <f t="shared" ca="1" si="47"/>
        <v/>
      </c>
      <c r="W230" s="90" t="e">
        <f t="shared" si="53"/>
        <v>#DIV/0!</v>
      </c>
      <c r="X230" s="90" t="str">
        <f t="shared" ca="1" si="48"/>
        <v/>
      </c>
      <c r="Y230" s="91" t="str">
        <f t="shared" ca="1" si="49"/>
        <v/>
      </c>
    </row>
    <row r="231" spans="14:25" ht="14.5" x14ac:dyDescent="0.35">
      <c r="N231" s="90" t="e">
        <f t="shared" si="50"/>
        <v>#DIV/0!</v>
      </c>
      <c r="O231" s="90" t="str">
        <f t="shared" ca="1" si="42"/>
        <v/>
      </c>
      <c r="P231" s="91" t="str">
        <f t="shared" ca="1" si="43"/>
        <v/>
      </c>
      <c r="Q231" s="90" t="e">
        <f t="shared" si="51"/>
        <v>#DIV/0!</v>
      </c>
      <c r="R231" s="90" t="str">
        <f t="shared" ca="1" si="44"/>
        <v/>
      </c>
      <c r="S231" s="91" t="str">
        <f t="shared" ca="1" si="45"/>
        <v/>
      </c>
      <c r="T231" s="90" t="e">
        <f t="shared" si="52"/>
        <v>#DIV/0!</v>
      </c>
      <c r="U231" s="90" t="str">
        <f t="shared" ca="1" si="46"/>
        <v/>
      </c>
      <c r="V231" s="91" t="str">
        <f t="shared" ca="1" si="47"/>
        <v/>
      </c>
      <c r="W231" s="90" t="e">
        <f t="shared" si="53"/>
        <v>#DIV/0!</v>
      </c>
      <c r="X231" s="90" t="str">
        <f t="shared" ca="1" si="48"/>
        <v/>
      </c>
      <c r="Y231" s="91" t="str">
        <f t="shared" ca="1" si="49"/>
        <v/>
      </c>
    </row>
    <row r="232" spans="14:25" ht="14.5" x14ac:dyDescent="0.35">
      <c r="N232" s="90" t="e">
        <f t="shared" si="50"/>
        <v>#DIV/0!</v>
      </c>
      <c r="O232" s="90" t="str">
        <f t="shared" ca="1" si="42"/>
        <v/>
      </c>
      <c r="P232" s="91" t="str">
        <f t="shared" ca="1" si="43"/>
        <v/>
      </c>
      <c r="Q232" s="90" t="e">
        <f t="shared" si="51"/>
        <v>#DIV/0!</v>
      </c>
      <c r="R232" s="90" t="str">
        <f t="shared" ca="1" si="44"/>
        <v/>
      </c>
      <c r="S232" s="91" t="str">
        <f t="shared" ca="1" si="45"/>
        <v/>
      </c>
      <c r="T232" s="90" t="e">
        <f t="shared" si="52"/>
        <v>#DIV/0!</v>
      </c>
      <c r="U232" s="90" t="str">
        <f t="shared" ca="1" si="46"/>
        <v/>
      </c>
      <c r="V232" s="91" t="str">
        <f t="shared" ca="1" si="47"/>
        <v/>
      </c>
      <c r="W232" s="90" t="e">
        <f t="shared" si="53"/>
        <v>#DIV/0!</v>
      </c>
      <c r="X232" s="90" t="str">
        <f t="shared" ca="1" si="48"/>
        <v/>
      </c>
      <c r="Y232" s="91" t="str">
        <f t="shared" ca="1" si="49"/>
        <v/>
      </c>
    </row>
    <row r="233" spans="14:25" ht="14.5" x14ac:dyDescent="0.35">
      <c r="N233" s="90" t="e">
        <f t="shared" si="50"/>
        <v>#DIV/0!</v>
      </c>
      <c r="O233" s="90" t="str">
        <f t="shared" ca="1" si="42"/>
        <v/>
      </c>
      <c r="P233" s="91" t="str">
        <f t="shared" ca="1" si="43"/>
        <v/>
      </c>
      <c r="Q233" s="90" t="e">
        <f t="shared" si="51"/>
        <v>#DIV/0!</v>
      </c>
      <c r="R233" s="90" t="str">
        <f t="shared" ca="1" si="44"/>
        <v/>
      </c>
      <c r="S233" s="91" t="str">
        <f t="shared" ca="1" si="45"/>
        <v/>
      </c>
      <c r="T233" s="90" t="e">
        <f t="shared" si="52"/>
        <v>#DIV/0!</v>
      </c>
      <c r="U233" s="90" t="str">
        <f t="shared" ca="1" si="46"/>
        <v/>
      </c>
      <c r="V233" s="91" t="str">
        <f t="shared" ca="1" si="47"/>
        <v/>
      </c>
      <c r="W233" s="90" t="e">
        <f t="shared" si="53"/>
        <v>#DIV/0!</v>
      </c>
      <c r="X233" s="90" t="str">
        <f t="shared" ca="1" si="48"/>
        <v/>
      </c>
      <c r="Y233" s="91" t="str">
        <f t="shared" ca="1" si="49"/>
        <v/>
      </c>
    </row>
    <row r="234" spans="14:25" ht="14.5" x14ac:dyDescent="0.35">
      <c r="N234" s="90" t="e">
        <f t="shared" si="50"/>
        <v>#DIV/0!</v>
      </c>
      <c r="O234" s="90" t="str">
        <f t="shared" ca="1" si="42"/>
        <v/>
      </c>
      <c r="P234" s="91" t="str">
        <f t="shared" ca="1" si="43"/>
        <v/>
      </c>
      <c r="Q234" s="90" t="e">
        <f t="shared" si="51"/>
        <v>#DIV/0!</v>
      </c>
      <c r="R234" s="90" t="str">
        <f t="shared" ca="1" si="44"/>
        <v/>
      </c>
      <c r="S234" s="91" t="str">
        <f t="shared" ca="1" si="45"/>
        <v/>
      </c>
      <c r="T234" s="90" t="e">
        <f t="shared" si="52"/>
        <v>#DIV/0!</v>
      </c>
      <c r="U234" s="90" t="str">
        <f t="shared" ca="1" si="46"/>
        <v/>
      </c>
      <c r="V234" s="91" t="str">
        <f t="shared" ca="1" si="47"/>
        <v/>
      </c>
      <c r="W234" s="90" t="e">
        <f t="shared" si="53"/>
        <v>#DIV/0!</v>
      </c>
      <c r="X234" s="90" t="str">
        <f t="shared" ca="1" si="48"/>
        <v/>
      </c>
      <c r="Y234" s="91" t="str">
        <f t="shared" ca="1" si="49"/>
        <v/>
      </c>
    </row>
    <row r="235" spans="14:25" ht="14.5" x14ac:dyDescent="0.35">
      <c r="N235" s="90" t="e">
        <f t="shared" si="50"/>
        <v>#DIV/0!</v>
      </c>
      <c r="O235" s="90" t="str">
        <f t="shared" ca="1" si="42"/>
        <v/>
      </c>
      <c r="P235" s="91" t="str">
        <f t="shared" ca="1" si="43"/>
        <v/>
      </c>
      <c r="Q235" s="90" t="e">
        <f t="shared" si="51"/>
        <v>#DIV/0!</v>
      </c>
      <c r="R235" s="90" t="str">
        <f t="shared" ca="1" si="44"/>
        <v/>
      </c>
      <c r="S235" s="91" t="str">
        <f t="shared" ca="1" si="45"/>
        <v/>
      </c>
      <c r="T235" s="90" t="e">
        <f t="shared" si="52"/>
        <v>#DIV/0!</v>
      </c>
      <c r="U235" s="90" t="str">
        <f t="shared" ca="1" si="46"/>
        <v/>
      </c>
      <c r="V235" s="91" t="str">
        <f t="shared" ca="1" si="47"/>
        <v/>
      </c>
      <c r="W235" s="90" t="e">
        <f t="shared" si="53"/>
        <v>#DIV/0!</v>
      </c>
      <c r="X235" s="90" t="str">
        <f t="shared" ca="1" si="48"/>
        <v/>
      </c>
      <c r="Y235" s="91" t="str">
        <f t="shared" ca="1" si="49"/>
        <v/>
      </c>
    </row>
    <row r="236" spans="14:25" ht="14.5" x14ac:dyDescent="0.35">
      <c r="N236" s="90" t="e">
        <f t="shared" si="50"/>
        <v>#DIV/0!</v>
      </c>
      <c r="O236" s="90" t="str">
        <f t="shared" ca="1" si="42"/>
        <v/>
      </c>
      <c r="P236" s="91" t="str">
        <f t="shared" ca="1" si="43"/>
        <v/>
      </c>
      <c r="Q236" s="90" t="e">
        <f t="shared" si="51"/>
        <v>#DIV/0!</v>
      </c>
      <c r="R236" s="90" t="str">
        <f t="shared" ca="1" si="44"/>
        <v/>
      </c>
      <c r="S236" s="91" t="str">
        <f t="shared" ca="1" si="45"/>
        <v/>
      </c>
      <c r="T236" s="90" t="e">
        <f t="shared" si="52"/>
        <v>#DIV/0!</v>
      </c>
      <c r="U236" s="90" t="str">
        <f t="shared" ca="1" si="46"/>
        <v/>
      </c>
      <c r="V236" s="91" t="str">
        <f t="shared" ca="1" si="47"/>
        <v/>
      </c>
      <c r="W236" s="90" t="e">
        <f t="shared" si="53"/>
        <v>#DIV/0!</v>
      </c>
      <c r="X236" s="90" t="str">
        <f t="shared" ca="1" si="48"/>
        <v/>
      </c>
      <c r="Y236" s="91" t="str">
        <f t="shared" ca="1" si="49"/>
        <v/>
      </c>
    </row>
    <row r="237" spans="14:25" ht="14.5" x14ac:dyDescent="0.35">
      <c r="N237" s="90" t="e">
        <f t="shared" si="50"/>
        <v>#DIV/0!</v>
      </c>
      <c r="O237" s="90" t="str">
        <f t="shared" ca="1" si="42"/>
        <v/>
      </c>
      <c r="P237" s="91" t="str">
        <f t="shared" ca="1" si="43"/>
        <v/>
      </c>
      <c r="Q237" s="90" t="e">
        <f t="shared" si="51"/>
        <v>#DIV/0!</v>
      </c>
      <c r="R237" s="90" t="str">
        <f t="shared" ca="1" si="44"/>
        <v/>
      </c>
      <c r="S237" s="91" t="str">
        <f t="shared" ca="1" si="45"/>
        <v/>
      </c>
      <c r="T237" s="90" t="e">
        <f t="shared" si="52"/>
        <v>#DIV/0!</v>
      </c>
      <c r="U237" s="90" t="str">
        <f t="shared" ca="1" si="46"/>
        <v/>
      </c>
      <c r="V237" s="91" t="str">
        <f t="shared" ca="1" si="47"/>
        <v/>
      </c>
      <c r="W237" s="90" t="e">
        <f t="shared" si="53"/>
        <v>#DIV/0!</v>
      </c>
      <c r="X237" s="90" t="str">
        <f t="shared" ca="1" si="48"/>
        <v/>
      </c>
      <c r="Y237" s="91" t="str">
        <f t="shared" ca="1" si="49"/>
        <v/>
      </c>
    </row>
    <row r="238" spans="14:25" ht="14.5" x14ac:dyDescent="0.35">
      <c r="N238" s="90" t="e">
        <f t="shared" si="50"/>
        <v>#DIV/0!</v>
      </c>
      <c r="O238" s="90" t="str">
        <f t="shared" ca="1" si="42"/>
        <v/>
      </c>
      <c r="P238" s="91" t="str">
        <f t="shared" ca="1" si="43"/>
        <v/>
      </c>
      <c r="Q238" s="90" t="e">
        <f t="shared" si="51"/>
        <v>#DIV/0!</v>
      </c>
      <c r="R238" s="90" t="str">
        <f t="shared" ca="1" si="44"/>
        <v/>
      </c>
      <c r="S238" s="91" t="str">
        <f t="shared" ca="1" si="45"/>
        <v/>
      </c>
      <c r="T238" s="90" t="e">
        <f t="shared" si="52"/>
        <v>#DIV/0!</v>
      </c>
      <c r="U238" s="90" t="str">
        <f t="shared" ca="1" si="46"/>
        <v/>
      </c>
      <c r="V238" s="91" t="str">
        <f t="shared" ca="1" si="47"/>
        <v/>
      </c>
      <c r="W238" s="90" t="e">
        <f t="shared" si="53"/>
        <v>#DIV/0!</v>
      </c>
      <c r="X238" s="90" t="str">
        <f t="shared" ca="1" si="48"/>
        <v/>
      </c>
      <c r="Y238" s="91" t="str">
        <f t="shared" ca="1" si="49"/>
        <v/>
      </c>
    </row>
    <row r="239" spans="14:25" ht="14.5" x14ac:dyDescent="0.35">
      <c r="N239" s="90" t="e">
        <f t="shared" si="50"/>
        <v>#DIV/0!</v>
      </c>
      <c r="O239" s="90" t="str">
        <f t="shared" ca="1" si="42"/>
        <v/>
      </c>
      <c r="P239" s="91" t="str">
        <f t="shared" ca="1" si="43"/>
        <v/>
      </c>
      <c r="Q239" s="90" t="e">
        <f t="shared" si="51"/>
        <v>#DIV/0!</v>
      </c>
      <c r="R239" s="90" t="str">
        <f t="shared" ca="1" si="44"/>
        <v/>
      </c>
      <c r="S239" s="91" t="str">
        <f t="shared" ca="1" si="45"/>
        <v/>
      </c>
      <c r="T239" s="90" t="e">
        <f t="shared" si="52"/>
        <v>#DIV/0!</v>
      </c>
      <c r="U239" s="90" t="str">
        <f t="shared" ca="1" si="46"/>
        <v/>
      </c>
      <c r="V239" s="91" t="str">
        <f t="shared" ca="1" si="47"/>
        <v/>
      </c>
      <c r="W239" s="90" t="e">
        <f t="shared" si="53"/>
        <v>#DIV/0!</v>
      </c>
      <c r="X239" s="90" t="str">
        <f t="shared" ca="1" si="48"/>
        <v/>
      </c>
      <c r="Y239" s="91" t="str">
        <f t="shared" ca="1" si="49"/>
        <v/>
      </c>
    </row>
    <row r="240" spans="14:25" ht="14.5" x14ac:dyDescent="0.35">
      <c r="N240" s="90" t="e">
        <f t="shared" si="50"/>
        <v>#DIV/0!</v>
      </c>
      <c r="O240" s="90" t="str">
        <f t="shared" ca="1" si="42"/>
        <v/>
      </c>
      <c r="P240" s="91" t="str">
        <f t="shared" ca="1" si="43"/>
        <v/>
      </c>
      <c r="Q240" s="90" t="e">
        <f t="shared" si="51"/>
        <v>#DIV/0!</v>
      </c>
      <c r="R240" s="90" t="str">
        <f t="shared" ca="1" si="44"/>
        <v/>
      </c>
      <c r="S240" s="91" t="str">
        <f t="shared" ca="1" si="45"/>
        <v/>
      </c>
      <c r="T240" s="90" t="e">
        <f t="shared" si="52"/>
        <v>#DIV/0!</v>
      </c>
      <c r="U240" s="90" t="str">
        <f t="shared" ca="1" si="46"/>
        <v/>
      </c>
      <c r="V240" s="91" t="str">
        <f t="shared" ca="1" si="47"/>
        <v/>
      </c>
      <c r="W240" s="90" t="e">
        <f t="shared" si="53"/>
        <v>#DIV/0!</v>
      </c>
      <c r="X240" s="90" t="str">
        <f t="shared" ca="1" si="48"/>
        <v/>
      </c>
      <c r="Y240" s="91" t="str">
        <f t="shared" ca="1" si="49"/>
        <v/>
      </c>
    </row>
    <row r="241" spans="14:25" ht="14.5" x14ac:dyDescent="0.35">
      <c r="N241" s="90" t="e">
        <f t="shared" si="50"/>
        <v>#DIV/0!</v>
      </c>
      <c r="O241" s="90" t="str">
        <f t="shared" ca="1" si="42"/>
        <v/>
      </c>
      <c r="P241" s="91" t="str">
        <f t="shared" ca="1" si="43"/>
        <v/>
      </c>
      <c r="Q241" s="90" t="e">
        <f t="shared" si="51"/>
        <v>#DIV/0!</v>
      </c>
      <c r="R241" s="90" t="str">
        <f t="shared" ca="1" si="44"/>
        <v/>
      </c>
      <c r="S241" s="91" t="str">
        <f t="shared" ca="1" si="45"/>
        <v/>
      </c>
      <c r="T241" s="90" t="e">
        <f t="shared" si="52"/>
        <v>#DIV/0!</v>
      </c>
      <c r="U241" s="90" t="str">
        <f t="shared" ca="1" si="46"/>
        <v/>
      </c>
      <c r="V241" s="91" t="str">
        <f t="shared" ca="1" si="47"/>
        <v/>
      </c>
      <c r="W241" s="90" t="e">
        <f t="shared" si="53"/>
        <v>#DIV/0!</v>
      </c>
      <c r="X241" s="90" t="str">
        <f t="shared" ca="1" si="48"/>
        <v/>
      </c>
      <c r="Y241" s="91" t="str">
        <f t="shared" ca="1" si="49"/>
        <v/>
      </c>
    </row>
    <row r="242" spans="14:25" ht="14.5" x14ac:dyDescent="0.35">
      <c r="N242" s="90" t="e">
        <f t="shared" si="50"/>
        <v>#DIV/0!</v>
      </c>
      <c r="O242" s="90" t="str">
        <f t="shared" ca="1" si="42"/>
        <v/>
      </c>
      <c r="P242" s="91" t="str">
        <f t="shared" ca="1" si="43"/>
        <v/>
      </c>
      <c r="Q242" s="90" t="e">
        <f t="shared" si="51"/>
        <v>#DIV/0!</v>
      </c>
      <c r="R242" s="90" t="str">
        <f t="shared" ca="1" si="44"/>
        <v/>
      </c>
      <c r="S242" s="91" t="str">
        <f t="shared" ca="1" si="45"/>
        <v/>
      </c>
      <c r="T242" s="90" t="e">
        <f t="shared" si="52"/>
        <v>#DIV/0!</v>
      </c>
      <c r="U242" s="90" t="str">
        <f t="shared" ca="1" si="46"/>
        <v/>
      </c>
      <c r="V242" s="91" t="str">
        <f t="shared" ca="1" si="47"/>
        <v/>
      </c>
      <c r="W242" s="90" t="e">
        <f t="shared" si="53"/>
        <v>#DIV/0!</v>
      </c>
      <c r="X242" s="90" t="str">
        <f t="shared" ca="1" si="48"/>
        <v/>
      </c>
      <c r="Y242" s="91" t="str">
        <f t="shared" ca="1" si="49"/>
        <v/>
      </c>
    </row>
    <row r="243" spans="14:25" ht="14.5" x14ac:dyDescent="0.35">
      <c r="N243" s="90" t="e">
        <f t="shared" si="50"/>
        <v>#DIV/0!</v>
      </c>
      <c r="O243" s="90" t="str">
        <f t="shared" ca="1" si="42"/>
        <v/>
      </c>
      <c r="P243" s="91" t="str">
        <f t="shared" ca="1" si="43"/>
        <v/>
      </c>
      <c r="Q243" s="90" t="e">
        <f t="shared" si="51"/>
        <v>#DIV/0!</v>
      </c>
      <c r="R243" s="90" t="str">
        <f t="shared" ca="1" si="44"/>
        <v/>
      </c>
      <c r="S243" s="91" t="str">
        <f t="shared" ca="1" si="45"/>
        <v/>
      </c>
      <c r="T243" s="90" t="e">
        <f t="shared" si="52"/>
        <v>#DIV/0!</v>
      </c>
      <c r="U243" s="90" t="str">
        <f t="shared" ca="1" si="46"/>
        <v/>
      </c>
      <c r="V243" s="91" t="str">
        <f t="shared" ca="1" si="47"/>
        <v/>
      </c>
      <c r="W243" s="90" t="e">
        <f t="shared" si="53"/>
        <v>#DIV/0!</v>
      </c>
      <c r="X243" s="90" t="str">
        <f t="shared" ca="1" si="48"/>
        <v/>
      </c>
      <c r="Y243" s="91" t="str">
        <f t="shared" ca="1" si="49"/>
        <v/>
      </c>
    </row>
    <row r="244" spans="14:25" ht="14.5" x14ac:dyDescent="0.35">
      <c r="N244" s="90" t="e">
        <f t="shared" si="50"/>
        <v>#DIV/0!</v>
      </c>
      <c r="O244" s="90" t="str">
        <f t="shared" ca="1" si="42"/>
        <v/>
      </c>
      <c r="P244" s="91" t="str">
        <f t="shared" ca="1" si="43"/>
        <v/>
      </c>
      <c r="Q244" s="90" t="e">
        <f t="shared" si="51"/>
        <v>#DIV/0!</v>
      </c>
      <c r="R244" s="90" t="str">
        <f t="shared" ca="1" si="44"/>
        <v/>
      </c>
      <c r="S244" s="91" t="str">
        <f t="shared" ca="1" si="45"/>
        <v/>
      </c>
      <c r="T244" s="90" t="e">
        <f t="shared" si="52"/>
        <v>#DIV/0!</v>
      </c>
      <c r="U244" s="90" t="str">
        <f t="shared" ca="1" si="46"/>
        <v/>
      </c>
      <c r="V244" s="91" t="str">
        <f t="shared" ca="1" si="47"/>
        <v/>
      </c>
      <c r="W244" s="90" t="e">
        <f t="shared" si="53"/>
        <v>#DIV/0!</v>
      </c>
      <c r="X244" s="90" t="str">
        <f t="shared" ca="1" si="48"/>
        <v/>
      </c>
      <c r="Y244" s="91" t="str">
        <f t="shared" ca="1" si="49"/>
        <v/>
      </c>
    </row>
    <row r="245" spans="14:25" ht="14.5" x14ac:dyDescent="0.35">
      <c r="N245" s="90" t="e">
        <f t="shared" si="50"/>
        <v>#DIV/0!</v>
      </c>
      <c r="O245" s="90" t="str">
        <f t="shared" ca="1" si="42"/>
        <v/>
      </c>
      <c r="P245" s="91" t="str">
        <f t="shared" ca="1" si="43"/>
        <v/>
      </c>
      <c r="Q245" s="90" t="e">
        <f t="shared" si="51"/>
        <v>#DIV/0!</v>
      </c>
      <c r="R245" s="90" t="str">
        <f t="shared" ca="1" si="44"/>
        <v/>
      </c>
      <c r="S245" s="91" t="str">
        <f t="shared" ca="1" si="45"/>
        <v/>
      </c>
      <c r="T245" s="90" t="e">
        <f t="shared" si="52"/>
        <v>#DIV/0!</v>
      </c>
      <c r="U245" s="90" t="str">
        <f t="shared" ca="1" si="46"/>
        <v/>
      </c>
      <c r="V245" s="91" t="str">
        <f t="shared" ca="1" si="47"/>
        <v/>
      </c>
      <c r="W245" s="90" t="e">
        <f t="shared" si="53"/>
        <v>#DIV/0!</v>
      </c>
      <c r="X245" s="90" t="str">
        <f t="shared" ca="1" si="48"/>
        <v/>
      </c>
      <c r="Y245" s="91" t="str">
        <f t="shared" ca="1" si="49"/>
        <v/>
      </c>
    </row>
    <row r="246" spans="14:25" ht="14.5" x14ac:dyDescent="0.35">
      <c r="N246" s="90" t="e">
        <f t="shared" si="50"/>
        <v>#DIV/0!</v>
      </c>
      <c r="O246" s="90" t="str">
        <f t="shared" ca="1" si="42"/>
        <v/>
      </c>
      <c r="P246" s="91" t="str">
        <f t="shared" ca="1" si="43"/>
        <v/>
      </c>
      <c r="Q246" s="90" t="e">
        <f t="shared" si="51"/>
        <v>#DIV/0!</v>
      </c>
      <c r="R246" s="90" t="str">
        <f t="shared" ca="1" si="44"/>
        <v/>
      </c>
      <c r="S246" s="91" t="str">
        <f t="shared" ca="1" si="45"/>
        <v/>
      </c>
      <c r="T246" s="90" t="e">
        <f t="shared" si="52"/>
        <v>#DIV/0!</v>
      </c>
      <c r="U246" s="90" t="str">
        <f t="shared" ca="1" si="46"/>
        <v/>
      </c>
      <c r="V246" s="91" t="str">
        <f t="shared" ca="1" si="47"/>
        <v/>
      </c>
      <c r="W246" s="90" t="e">
        <f t="shared" si="53"/>
        <v>#DIV/0!</v>
      </c>
      <c r="X246" s="90" t="str">
        <f t="shared" ca="1" si="48"/>
        <v/>
      </c>
      <c r="Y246" s="91" t="str">
        <f t="shared" ca="1" si="49"/>
        <v/>
      </c>
    </row>
    <row r="247" spans="14:25" ht="14.5" x14ac:dyDescent="0.35">
      <c r="N247" s="90" t="e">
        <f t="shared" si="50"/>
        <v>#DIV/0!</v>
      </c>
      <c r="O247" s="90" t="str">
        <f t="shared" ca="1" si="42"/>
        <v/>
      </c>
      <c r="P247" s="91" t="str">
        <f t="shared" ca="1" si="43"/>
        <v/>
      </c>
      <c r="Q247" s="90" t="e">
        <f t="shared" si="51"/>
        <v>#DIV/0!</v>
      </c>
      <c r="R247" s="90" t="str">
        <f t="shared" ca="1" si="44"/>
        <v/>
      </c>
      <c r="S247" s="91" t="str">
        <f t="shared" ca="1" si="45"/>
        <v/>
      </c>
      <c r="T247" s="90" t="e">
        <f t="shared" si="52"/>
        <v>#DIV/0!</v>
      </c>
      <c r="U247" s="90" t="str">
        <f t="shared" ca="1" si="46"/>
        <v/>
      </c>
      <c r="V247" s="91" t="str">
        <f t="shared" ca="1" si="47"/>
        <v/>
      </c>
      <c r="W247" s="90" t="e">
        <f t="shared" si="53"/>
        <v>#DIV/0!</v>
      </c>
      <c r="X247" s="90" t="str">
        <f t="shared" ca="1" si="48"/>
        <v/>
      </c>
      <c r="Y247" s="91" t="str">
        <f t="shared" ca="1" si="49"/>
        <v/>
      </c>
    </row>
    <row r="248" spans="14:25" ht="14.5" x14ac:dyDescent="0.35">
      <c r="N248" s="90" t="e">
        <f t="shared" si="50"/>
        <v>#DIV/0!</v>
      </c>
      <c r="O248" s="90" t="str">
        <f t="shared" ca="1" si="42"/>
        <v/>
      </c>
      <c r="P248" s="91" t="str">
        <f t="shared" ca="1" si="43"/>
        <v/>
      </c>
      <c r="Q248" s="90" t="e">
        <f t="shared" si="51"/>
        <v>#DIV/0!</v>
      </c>
      <c r="R248" s="90" t="str">
        <f t="shared" ca="1" si="44"/>
        <v/>
      </c>
      <c r="S248" s="91" t="str">
        <f t="shared" ca="1" si="45"/>
        <v/>
      </c>
      <c r="T248" s="90" t="e">
        <f t="shared" si="52"/>
        <v>#DIV/0!</v>
      </c>
      <c r="U248" s="90" t="str">
        <f t="shared" ca="1" si="46"/>
        <v/>
      </c>
      <c r="V248" s="91" t="str">
        <f t="shared" ca="1" si="47"/>
        <v/>
      </c>
      <c r="W248" s="90" t="e">
        <f t="shared" si="53"/>
        <v>#DIV/0!</v>
      </c>
      <c r="X248" s="90" t="str">
        <f t="shared" ca="1" si="48"/>
        <v/>
      </c>
      <c r="Y248" s="91" t="str">
        <f t="shared" ca="1" si="49"/>
        <v/>
      </c>
    </row>
    <row r="249" spans="14:25" ht="14.5" x14ac:dyDescent="0.35">
      <c r="N249" s="90" t="e">
        <f t="shared" si="50"/>
        <v>#DIV/0!</v>
      </c>
      <c r="O249" s="90" t="str">
        <f t="shared" ca="1" si="42"/>
        <v/>
      </c>
      <c r="P249" s="91" t="str">
        <f t="shared" ca="1" si="43"/>
        <v/>
      </c>
      <c r="Q249" s="90" t="e">
        <f t="shared" si="51"/>
        <v>#DIV/0!</v>
      </c>
      <c r="R249" s="90" t="str">
        <f t="shared" ca="1" si="44"/>
        <v/>
      </c>
      <c r="S249" s="91" t="str">
        <f t="shared" ca="1" si="45"/>
        <v/>
      </c>
      <c r="T249" s="90" t="e">
        <f t="shared" si="52"/>
        <v>#DIV/0!</v>
      </c>
      <c r="U249" s="90" t="str">
        <f t="shared" ca="1" si="46"/>
        <v/>
      </c>
      <c r="V249" s="91" t="str">
        <f t="shared" ca="1" si="47"/>
        <v/>
      </c>
      <c r="W249" s="90" t="e">
        <f t="shared" si="53"/>
        <v>#DIV/0!</v>
      </c>
      <c r="X249" s="90" t="str">
        <f t="shared" ca="1" si="48"/>
        <v/>
      </c>
      <c r="Y249" s="91" t="str">
        <f t="shared" ca="1" si="49"/>
        <v/>
      </c>
    </row>
    <row r="250" spans="14:25" ht="14.5" x14ac:dyDescent="0.35">
      <c r="N250" s="90" t="e">
        <f t="shared" si="50"/>
        <v>#DIV/0!</v>
      </c>
      <c r="O250" s="90" t="str">
        <f t="shared" ca="1" si="42"/>
        <v/>
      </c>
      <c r="P250" s="91" t="str">
        <f t="shared" ca="1" si="43"/>
        <v/>
      </c>
      <c r="Q250" s="90" t="e">
        <f t="shared" si="51"/>
        <v>#DIV/0!</v>
      </c>
      <c r="R250" s="90" t="str">
        <f t="shared" ca="1" si="44"/>
        <v/>
      </c>
      <c r="S250" s="91" t="str">
        <f t="shared" ca="1" si="45"/>
        <v/>
      </c>
      <c r="T250" s="90" t="e">
        <f t="shared" si="52"/>
        <v>#DIV/0!</v>
      </c>
      <c r="U250" s="90" t="str">
        <f t="shared" ca="1" si="46"/>
        <v/>
      </c>
      <c r="V250" s="91" t="str">
        <f t="shared" ca="1" si="47"/>
        <v/>
      </c>
      <c r="W250" s="90" t="e">
        <f t="shared" si="53"/>
        <v>#DIV/0!</v>
      </c>
      <c r="X250" s="90" t="str">
        <f t="shared" ca="1" si="48"/>
        <v/>
      </c>
      <c r="Y250" s="91" t="str">
        <f t="shared" ca="1" si="49"/>
        <v/>
      </c>
    </row>
    <row r="251" spans="14:25" ht="14.5" x14ac:dyDescent="0.35">
      <c r="N251" s="90" t="e">
        <f t="shared" si="50"/>
        <v>#DIV/0!</v>
      </c>
      <c r="O251" s="90" t="str">
        <f t="shared" ca="1" si="42"/>
        <v/>
      </c>
      <c r="P251" s="91" t="str">
        <f t="shared" ca="1" si="43"/>
        <v/>
      </c>
      <c r="Q251" s="90" t="e">
        <f t="shared" si="51"/>
        <v>#DIV/0!</v>
      </c>
      <c r="R251" s="90" t="str">
        <f t="shared" ca="1" si="44"/>
        <v/>
      </c>
      <c r="S251" s="91" t="str">
        <f t="shared" ca="1" si="45"/>
        <v/>
      </c>
      <c r="T251" s="90" t="e">
        <f t="shared" si="52"/>
        <v>#DIV/0!</v>
      </c>
      <c r="U251" s="90" t="str">
        <f t="shared" ca="1" si="46"/>
        <v/>
      </c>
      <c r="V251" s="91" t="str">
        <f t="shared" ca="1" si="47"/>
        <v/>
      </c>
      <c r="W251" s="90" t="e">
        <f t="shared" si="53"/>
        <v>#DIV/0!</v>
      </c>
      <c r="X251" s="90" t="str">
        <f t="shared" ca="1" si="48"/>
        <v/>
      </c>
      <c r="Y251" s="91" t="str">
        <f t="shared" ca="1" si="49"/>
        <v/>
      </c>
    </row>
    <row r="252" spans="14:25" ht="14.5" x14ac:dyDescent="0.35">
      <c r="N252" s="90" t="e">
        <f t="shared" si="50"/>
        <v>#DIV/0!</v>
      </c>
      <c r="O252" s="90" t="str">
        <f t="shared" ca="1" si="42"/>
        <v/>
      </c>
      <c r="P252" s="91" t="str">
        <f t="shared" ca="1" si="43"/>
        <v/>
      </c>
      <c r="Q252" s="90" t="e">
        <f t="shared" si="51"/>
        <v>#DIV/0!</v>
      </c>
      <c r="R252" s="90" t="str">
        <f t="shared" ca="1" si="44"/>
        <v/>
      </c>
      <c r="S252" s="91" t="str">
        <f t="shared" ca="1" si="45"/>
        <v/>
      </c>
      <c r="T252" s="90" t="e">
        <f t="shared" si="52"/>
        <v>#DIV/0!</v>
      </c>
      <c r="U252" s="90" t="str">
        <f t="shared" ca="1" si="46"/>
        <v/>
      </c>
      <c r="V252" s="91" t="str">
        <f t="shared" ca="1" si="47"/>
        <v/>
      </c>
      <c r="W252" s="90" t="e">
        <f t="shared" si="53"/>
        <v>#DIV/0!</v>
      </c>
      <c r="X252" s="90" t="str">
        <f t="shared" ca="1" si="48"/>
        <v/>
      </c>
      <c r="Y252" s="91" t="str">
        <f t="shared" ca="1" si="49"/>
        <v/>
      </c>
    </row>
    <row r="253" spans="14:25" ht="14.5" x14ac:dyDescent="0.35">
      <c r="N253" s="90" t="e">
        <f t="shared" si="50"/>
        <v>#DIV/0!</v>
      </c>
      <c r="O253" s="90" t="str">
        <f t="shared" ca="1" si="42"/>
        <v/>
      </c>
      <c r="P253" s="91" t="str">
        <f t="shared" ca="1" si="43"/>
        <v/>
      </c>
      <c r="Q253" s="90" t="e">
        <f t="shared" si="51"/>
        <v>#DIV/0!</v>
      </c>
      <c r="R253" s="90" t="str">
        <f t="shared" ca="1" si="44"/>
        <v/>
      </c>
      <c r="S253" s="91" t="str">
        <f t="shared" ca="1" si="45"/>
        <v/>
      </c>
      <c r="T253" s="90" t="e">
        <f t="shared" si="52"/>
        <v>#DIV/0!</v>
      </c>
      <c r="U253" s="90" t="str">
        <f t="shared" ca="1" si="46"/>
        <v/>
      </c>
      <c r="V253" s="91" t="str">
        <f t="shared" ca="1" si="47"/>
        <v/>
      </c>
      <c r="W253" s="90" t="e">
        <f t="shared" si="53"/>
        <v>#DIV/0!</v>
      </c>
      <c r="X253" s="90" t="str">
        <f t="shared" ca="1" si="48"/>
        <v/>
      </c>
      <c r="Y253" s="91" t="str">
        <f t="shared" ca="1" si="49"/>
        <v/>
      </c>
    </row>
    <row r="254" spans="14:25" ht="14.5" x14ac:dyDescent="0.35">
      <c r="N254" s="90" t="e">
        <f t="shared" si="50"/>
        <v>#DIV/0!</v>
      </c>
      <c r="O254" s="90" t="str">
        <f t="shared" ca="1" si="42"/>
        <v/>
      </c>
      <c r="P254" s="91" t="str">
        <f t="shared" ca="1" si="43"/>
        <v/>
      </c>
      <c r="Q254" s="90" t="e">
        <f t="shared" si="51"/>
        <v>#DIV/0!</v>
      </c>
      <c r="R254" s="90" t="str">
        <f t="shared" ca="1" si="44"/>
        <v/>
      </c>
      <c r="S254" s="91" t="str">
        <f t="shared" ca="1" si="45"/>
        <v/>
      </c>
      <c r="T254" s="90" t="e">
        <f t="shared" si="52"/>
        <v>#DIV/0!</v>
      </c>
      <c r="U254" s="90" t="str">
        <f t="shared" ca="1" si="46"/>
        <v/>
      </c>
      <c r="V254" s="91" t="str">
        <f t="shared" ca="1" si="47"/>
        <v/>
      </c>
      <c r="W254" s="90" t="e">
        <f t="shared" si="53"/>
        <v>#DIV/0!</v>
      </c>
      <c r="X254" s="90" t="str">
        <f t="shared" ca="1" si="48"/>
        <v/>
      </c>
      <c r="Y254" s="91" t="str">
        <f t="shared" ca="1" si="49"/>
        <v/>
      </c>
    </row>
    <row r="255" spans="14:25" ht="14.5" x14ac:dyDescent="0.35">
      <c r="N255" s="90" t="e">
        <f t="shared" si="50"/>
        <v>#DIV/0!</v>
      </c>
      <c r="O255" s="90" t="str">
        <f t="shared" ca="1" si="42"/>
        <v/>
      </c>
      <c r="P255" s="91" t="str">
        <f t="shared" ca="1" si="43"/>
        <v/>
      </c>
      <c r="Q255" s="90" t="e">
        <f t="shared" si="51"/>
        <v>#DIV/0!</v>
      </c>
      <c r="R255" s="90" t="str">
        <f t="shared" ca="1" si="44"/>
        <v/>
      </c>
      <c r="S255" s="91" t="str">
        <f t="shared" ca="1" si="45"/>
        <v/>
      </c>
      <c r="T255" s="90" t="e">
        <f t="shared" si="52"/>
        <v>#DIV/0!</v>
      </c>
      <c r="U255" s="90" t="str">
        <f t="shared" ca="1" si="46"/>
        <v/>
      </c>
      <c r="V255" s="91" t="str">
        <f t="shared" ca="1" si="47"/>
        <v/>
      </c>
      <c r="W255" s="90" t="e">
        <f t="shared" si="53"/>
        <v>#DIV/0!</v>
      </c>
      <c r="X255" s="90" t="str">
        <f t="shared" ca="1" si="48"/>
        <v/>
      </c>
      <c r="Y255" s="91" t="str">
        <f t="shared" ca="1" si="49"/>
        <v/>
      </c>
    </row>
    <row r="256" spans="14:25" ht="14.5" x14ac:dyDescent="0.35">
      <c r="N256" s="90" t="e">
        <f t="shared" si="50"/>
        <v>#DIV/0!</v>
      </c>
      <c r="O256" s="90" t="str">
        <f t="shared" ca="1" si="42"/>
        <v/>
      </c>
      <c r="P256" s="91" t="str">
        <f t="shared" ca="1" si="43"/>
        <v/>
      </c>
      <c r="Q256" s="90" t="e">
        <f t="shared" si="51"/>
        <v>#DIV/0!</v>
      </c>
      <c r="R256" s="90" t="str">
        <f t="shared" ca="1" si="44"/>
        <v/>
      </c>
      <c r="S256" s="91" t="str">
        <f t="shared" ca="1" si="45"/>
        <v/>
      </c>
      <c r="T256" s="90" t="e">
        <f t="shared" si="52"/>
        <v>#DIV/0!</v>
      </c>
      <c r="U256" s="90" t="str">
        <f t="shared" ca="1" si="46"/>
        <v/>
      </c>
      <c r="V256" s="91" t="str">
        <f t="shared" ca="1" si="47"/>
        <v/>
      </c>
      <c r="W256" s="90" t="e">
        <f t="shared" si="53"/>
        <v>#DIV/0!</v>
      </c>
      <c r="X256" s="90" t="str">
        <f t="shared" ca="1" si="48"/>
        <v/>
      </c>
      <c r="Y256" s="91" t="str">
        <f t="shared" ca="1" si="49"/>
        <v/>
      </c>
    </row>
    <row r="257" spans="14:25" ht="14.5" x14ac:dyDescent="0.35">
      <c r="N257" s="90" t="e">
        <f t="shared" si="50"/>
        <v>#DIV/0!</v>
      </c>
      <c r="O257" s="90" t="str">
        <f t="shared" ca="1" si="42"/>
        <v/>
      </c>
      <c r="P257" s="91" t="str">
        <f t="shared" ca="1" si="43"/>
        <v/>
      </c>
      <c r="Q257" s="90" t="e">
        <f t="shared" si="51"/>
        <v>#DIV/0!</v>
      </c>
      <c r="R257" s="90" t="str">
        <f t="shared" ca="1" si="44"/>
        <v/>
      </c>
      <c r="S257" s="91" t="str">
        <f t="shared" ca="1" si="45"/>
        <v/>
      </c>
      <c r="T257" s="90" t="e">
        <f t="shared" si="52"/>
        <v>#DIV/0!</v>
      </c>
      <c r="U257" s="90" t="str">
        <f t="shared" ca="1" si="46"/>
        <v/>
      </c>
      <c r="V257" s="91" t="str">
        <f t="shared" ca="1" si="47"/>
        <v/>
      </c>
      <c r="W257" s="90" t="e">
        <f t="shared" si="53"/>
        <v>#DIV/0!</v>
      </c>
      <c r="X257" s="90" t="str">
        <f t="shared" ca="1" si="48"/>
        <v/>
      </c>
      <c r="Y257" s="91" t="str">
        <f t="shared" ca="1" si="49"/>
        <v/>
      </c>
    </row>
    <row r="258" spans="14:25" ht="14.5" x14ac:dyDescent="0.35">
      <c r="N258" s="90" t="e">
        <f t="shared" si="50"/>
        <v>#DIV/0!</v>
      </c>
      <c r="O258" s="90" t="str">
        <f t="shared" ca="1" si="42"/>
        <v/>
      </c>
      <c r="P258" s="91" t="str">
        <f t="shared" ca="1" si="43"/>
        <v/>
      </c>
      <c r="Q258" s="90" t="e">
        <f t="shared" si="51"/>
        <v>#DIV/0!</v>
      </c>
      <c r="R258" s="90" t="str">
        <f t="shared" ca="1" si="44"/>
        <v/>
      </c>
      <c r="S258" s="91" t="str">
        <f t="shared" ca="1" si="45"/>
        <v/>
      </c>
      <c r="T258" s="90" t="e">
        <f t="shared" si="52"/>
        <v>#DIV/0!</v>
      </c>
      <c r="U258" s="90" t="str">
        <f t="shared" ca="1" si="46"/>
        <v/>
      </c>
      <c r="V258" s="91" t="str">
        <f t="shared" ca="1" si="47"/>
        <v/>
      </c>
      <c r="W258" s="90" t="e">
        <f t="shared" si="53"/>
        <v>#DIV/0!</v>
      </c>
      <c r="X258" s="90" t="str">
        <f t="shared" ca="1" si="48"/>
        <v/>
      </c>
      <c r="Y258" s="91" t="str">
        <f t="shared" ca="1" si="49"/>
        <v/>
      </c>
    </row>
    <row r="259" spans="14:25" ht="14.5" x14ac:dyDescent="0.35">
      <c r="N259" s="90" t="e">
        <f t="shared" si="50"/>
        <v>#DIV/0!</v>
      </c>
      <c r="O259" s="90" t="str">
        <f t="shared" ca="1" si="42"/>
        <v/>
      </c>
      <c r="P259" s="91" t="str">
        <f t="shared" ca="1" si="43"/>
        <v/>
      </c>
      <c r="Q259" s="90" t="e">
        <f t="shared" si="51"/>
        <v>#DIV/0!</v>
      </c>
      <c r="R259" s="90" t="str">
        <f t="shared" ca="1" si="44"/>
        <v/>
      </c>
      <c r="S259" s="91" t="str">
        <f t="shared" ca="1" si="45"/>
        <v/>
      </c>
      <c r="T259" s="90" t="e">
        <f t="shared" si="52"/>
        <v>#DIV/0!</v>
      </c>
      <c r="U259" s="90" t="str">
        <f t="shared" ca="1" si="46"/>
        <v/>
      </c>
      <c r="V259" s="91" t="str">
        <f t="shared" ca="1" si="47"/>
        <v/>
      </c>
      <c r="W259" s="90" t="e">
        <f t="shared" si="53"/>
        <v>#DIV/0!</v>
      </c>
      <c r="X259" s="90" t="str">
        <f t="shared" ca="1" si="48"/>
        <v/>
      </c>
      <c r="Y259" s="91" t="str">
        <f t="shared" ca="1" si="49"/>
        <v/>
      </c>
    </row>
    <row r="260" spans="14:25" ht="14.5" x14ac:dyDescent="0.35">
      <c r="N260" s="90" t="e">
        <f t="shared" si="50"/>
        <v>#DIV/0!</v>
      </c>
      <c r="O260" s="90" t="str">
        <f t="shared" ca="1" si="42"/>
        <v/>
      </c>
      <c r="P260" s="91" t="str">
        <f t="shared" ca="1" si="43"/>
        <v/>
      </c>
      <c r="Q260" s="90" t="e">
        <f t="shared" si="51"/>
        <v>#DIV/0!</v>
      </c>
      <c r="R260" s="90" t="str">
        <f t="shared" ca="1" si="44"/>
        <v/>
      </c>
      <c r="S260" s="91" t="str">
        <f t="shared" ca="1" si="45"/>
        <v/>
      </c>
      <c r="T260" s="90" t="e">
        <f t="shared" si="52"/>
        <v>#DIV/0!</v>
      </c>
      <c r="U260" s="90" t="str">
        <f t="shared" ca="1" si="46"/>
        <v/>
      </c>
      <c r="V260" s="91" t="str">
        <f t="shared" ca="1" si="47"/>
        <v/>
      </c>
      <c r="W260" s="90" t="e">
        <f t="shared" si="53"/>
        <v>#DIV/0!</v>
      </c>
      <c r="X260" s="90" t="str">
        <f t="shared" ca="1" si="48"/>
        <v/>
      </c>
      <c r="Y260" s="91" t="str">
        <f t="shared" ca="1" si="49"/>
        <v/>
      </c>
    </row>
    <row r="261" spans="14:25" ht="14.5" x14ac:dyDescent="0.35">
      <c r="N261" s="90" t="e">
        <f t="shared" si="50"/>
        <v>#DIV/0!</v>
      </c>
      <c r="O261" s="90" t="str">
        <f t="shared" ca="1" si="42"/>
        <v/>
      </c>
      <c r="P261" s="91" t="str">
        <f t="shared" ca="1" si="43"/>
        <v/>
      </c>
      <c r="Q261" s="90" t="e">
        <f t="shared" si="51"/>
        <v>#DIV/0!</v>
      </c>
      <c r="R261" s="90" t="str">
        <f t="shared" ca="1" si="44"/>
        <v/>
      </c>
      <c r="S261" s="91" t="str">
        <f t="shared" ca="1" si="45"/>
        <v/>
      </c>
      <c r="T261" s="90" t="e">
        <f t="shared" si="52"/>
        <v>#DIV/0!</v>
      </c>
      <c r="U261" s="90" t="str">
        <f t="shared" ca="1" si="46"/>
        <v/>
      </c>
      <c r="V261" s="91" t="str">
        <f t="shared" ca="1" si="47"/>
        <v/>
      </c>
      <c r="W261" s="90" t="e">
        <f t="shared" si="53"/>
        <v>#DIV/0!</v>
      </c>
      <c r="X261" s="90" t="str">
        <f t="shared" ca="1" si="48"/>
        <v/>
      </c>
      <c r="Y261" s="91" t="str">
        <f t="shared" ca="1" si="49"/>
        <v/>
      </c>
    </row>
    <row r="262" spans="14:25" ht="14.5" x14ac:dyDescent="0.35">
      <c r="N262" s="90" t="e">
        <f t="shared" si="50"/>
        <v>#DIV/0!</v>
      </c>
      <c r="O262" s="90" t="str">
        <f t="shared" ca="1" si="42"/>
        <v/>
      </c>
      <c r="P262" s="91" t="str">
        <f t="shared" ca="1" si="43"/>
        <v/>
      </c>
      <c r="Q262" s="90" t="e">
        <f t="shared" si="51"/>
        <v>#DIV/0!</v>
      </c>
      <c r="R262" s="90" t="str">
        <f t="shared" ca="1" si="44"/>
        <v/>
      </c>
      <c r="S262" s="91" t="str">
        <f t="shared" ca="1" si="45"/>
        <v/>
      </c>
      <c r="T262" s="90" t="e">
        <f t="shared" si="52"/>
        <v>#DIV/0!</v>
      </c>
      <c r="U262" s="90" t="str">
        <f t="shared" ca="1" si="46"/>
        <v/>
      </c>
      <c r="V262" s="91" t="str">
        <f t="shared" ca="1" si="47"/>
        <v/>
      </c>
      <c r="W262" s="90" t="e">
        <f t="shared" si="53"/>
        <v>#DIV/0!</v>
      </c>
      <c r="X262" s="90" t="str">
        <f t="shared" ca="1" si="48"/>
        <v/>
      </c>
      <c r="Y262" s="91" t="str">
        <f t="shared" ca="1" si="49"/>
        <v/>
      </c>
    </row>
    <row r="263" spans="14:25" ht="14.5" x14ac:dyDescent="0.35">
      <c r="N263" s="90" t="e">
        <f t="shared" si="50"/>
        <v>#DIV/0!</v>
      </c>
      <c r="O263" s="90" t="str">
        <f t="shared" ca="1" si="42"/>
        <v/>
      </c>
      <c r="P263" s="91" t="str">
        <f t="shared" ca="1" si="43"/>
        <v/>
      </c>
      <c r="Q263" s="90" t="e">
        <f t="shared" si="51"/>
        <v>#DIV/0!</v>
      </c>
      <c r="R263" s="90" t="str">
        <f t="shared" ca="1" si="44"/>
        <v/>
      </c>
      <c r="S263" s="91" t="str">
        <f t="shared" ca="1" si="45"/>
        <v/>
      </c>
      <c r="T263" s="90" t="e">
        <f t="shared" si="52"/>
        <v>#DIV/0!</v>
      </c>
      <c r="U263" s="90" t="str">
        <f t="shared" ca="1" si="46"/>
        <v/>
      </c>
      <c r="V263" s="91" t="str">
        <f t="shared" ca="1" si="47"/>
        <v/>
      </c>
      <c r="W263" s="90" t="e">
        <f t="shared" si="53"/>
        <v>#DIV/0!</v>
      </c>
      <c r="X263" s="90" t="str">
        <f t="shared" ca="1" si="48"/>
        <v/>
      </c>
      <c r="Y263" s="91" t="str">
        <f t="shared" ca="1" si="49"/>
        <v/>
      </c>
    </row>
    <row r="264" spans="14:25" ht="14.5" x14ac:dyDescent="0.35">
      <c r="N264" s="90" t="e">
        <f t="shared" si="50"/>
        <v>#DIV/0!</v>
      </c>
      <c r="O264" s="90" t="str">
        <f t="shared" ca="1" si="42"/>
        <v/>
      </c>
      <c r="P264" s="91" t="str">
        <f t="shared" ca="1" si="43"/>
        <v/>
      </c>
      <c r="Q264" s="90" t="e">
        <f t="shared" si="51"/>
        <v>#DIV/0!</v>
      </c>
      <c r="R264" s="90" t="str">
        <f t="shared" ca="1" si="44"/>
        <v/>
      </c>
      <c r="S264" s="91" t="str">
        <f t="shared" ca="1" si="45"/>
        <v/>
      </c>
      <c r="T264" s="90" t="e">
        <f t="shared" si="52"/>
        <v>#DIV/0!</v>
      </c>
      <c r="U264" s="90" t="str">
        <f t="shared" ca="1" si="46"/>
        <v/>
      </c>
      <c r="V264" s="91" t="str">
        <f t="shared" ca="1" si="47"/>
        <v/>
      </c>
      <c r="W264" s="90" t="e">
        <f t="shared" si="53"/>
        <v>#DIV/0!</v>
      </c>
      <c r="X264" s="90" t="str">
        <f t="shared" ca="1" si="48"/>
        <v/>
      </c>
      <c r="Y264" s="91" t="str">
        <f t="shared" ca="1" si="49"/>
        <v/>
      </c>
    </row>
    <row r="265" spans="14:25" ht="14.5" x14ac:dyDescent="0.35">
      <c r="N265" s="90" t="e">
        <f t="shared" si="50"/>
        <v>#DIV/0!</v>
      </c>
      <c r="O265" s="90" t="str">
        <f t="shared" ca="1" si="42"/>
        <v/>
      </c>
      <c r="P265" s="91" t="str">
        <f t="shared" ca="1" si="43"/>
        <v/>
      </c>
      <c r="Q265" s="90" t="e">
        <f t="shared" si="51"/>
        <v>#DIV/0!</v>
      </c>
      <c r="R265" s="90" t="str">
        <f t="shared" ca="1" si="44"/>
        <v/>
      </c>
      <c r="S265" s="91" t="str">
        <f t="shared" ca="1" si="45"/>
        <v/>
      </c>
      <c r="T265" s="90" t="e">
        <f t="shared" si="52"/>
        <v>#DIV/0!</v>
      </c>
      <c r="U265" s="90" t="str">
        <f t="shared" ca="1" si="46"/>
        <v/>
      </c>
      <c r="V265" s="91" t="str">
        <f t="shared" ca="1" si="47"/>
        <v/>
      </c>
      <c r="W265" s="90" t="e">
        <f t="shared" si="53"/>
        <v>#DIV/0!</v>
      </c>
      <c r="X265" s="90" t="str">
        <f t="shared" ca="1" si="48"/>
        <v/>
      </c>
      <c r="Y265" s="91" t="str">
        <f t="shared" ca="1" si="49"/>
        <v/>
      </c>
    </row>
    <row r="266" spans="14:25" ht="14.5" x14ac:dyDescent="0.35">
      <c r="N266" s="90" t="e">
        <f t="shared" si="50"/>
        <v>#DIV/0!</v>
      </c>
      <c r="O266" s="90" t="str">
        <f t="shared" ca="1" si="42"/>
        <v/>
      </c>
      <c r="P266" s="91" t="str">
        <f t="shared" ca="1" si="43"/>
        <v/>
      </c>
      <c r="Q266" s="90" t="e">
        <f t="shared" si="51"/>
        <v>#DIV/0!</v>
      </c>
      <c r="R266" s="90" t="str">
        <f t="shared" ca="1" si="44"/>
        <v/>
      </c>
      <c r="S266" s="91" t="str">
        <f t="shared" ca="1" si="45"/>
        <v/>
      </c>
      <c r="T266" s="90" t="e">
        <f t="shared" si="52"/>
        <v>#DIV/0!</v>
      </c>
      <c r="U266" s="90" t="str">
        <f t="shared" ca="1" si="46"/>
        <v/>
      </c>
      <c r="V266" s="91" t="str">
        <f t="shared" ca="1" si="47"/>
        <v/>
      </c>
      <c r="W266" s="90" t="e">
        <f t="shared" si="53"/>
        <v>#DIV/0!</v>
      </c>
      <c r="X266" s="90" t="str">
        <f t="shared" ca="1" si="48"/>
        <v/>
      </c>
      <c r="Y266" s="91" t="str">
        <f t="shared" ca="1" si="49"/>
        <v/>
      </c>
    </row>
    <row r="267" spans="14:25" ht="14.5" x14ac:dyDescent="0.35">
      <c r="N267" s="90" t="e">
        <f t="shared" si="50"/>
        <v>#DIV/0!</v>
      </c>
      <c r="O267" s="90" t="str">
        <f t="shared" ca="1" si="42"/>
        <v/>
      </c>
      <c r="P267" s="91" t="str">
        <f t="shared" ca="1" si="43"/>
        <v/>
      </c>
      <c r="Q267" s="90" t="e">
        <f t="shared" si="51"/>
        <v>#DIV/0!</v>
      </c>
      <c r="R267" s="90" t="str">
        <f t="shared" ca="1" si="44"/>
        <v/>
      </c>
      <c r="S267" s="91" t="str">
        <f t="shared" ca="1" si="45"/>
        <v/>
      </c>
      <c r="T267" s="90" t="e">
        <f t="shared" si="52"/>
        <v>#DIV/0!</v>
      </c>
      <c r="U267" s="90" t="str">
        <f t="shared" ca="1" si="46"/>
        <v/>
      </c>
      <c r="V267" s="91" t="str">
        <f t="shared" ca="1" si="47"/>
        <v/>
      </c>
      <c r="W267" s="90" t="e">
        <f t="shared" si="53"/>
        <v>#DIV/0!</v>
      </c>
      <c r="X267" s="90" t="str">
        <f t="shared" ca="1" si="48"/>
        <v/>
      </c>
      <c r="Y267" s="91" t="str">
        <f t="shared" ca="1" si="49"/>
        <v/>
      </c>
    </row>
    <row r="268" spans="14:25" ht="14.5" x14ac:dyDescent="0.35">
      <c r="N268" s="90" t="e">
        <f>IF(AND(W267&lt;$B$24,W267&lt;$R$14),W267+1,"")</f>
        <v>#DIV/0!</v>
      </c>
      <c r="O268" s="90" t="str">
        <f t="shared" ca="1" si="42"/>
        <v/>
      </c>
      <c r="P268" s="91" t="str">
        <f t="shared" ca="1" si="43"/>
        <v/>
      </c>
      <c r="Q268" s="90" t="e">
        <f>IF(AND(N317&lt;$B$24,N317&lt;$R$14),N317+1,"")</f>
        <v>#DIV/0!</v>
      </c>
      <c r="R268" s="90" t="str">
        <f t="shared" ca="1" si="44"/>
        <v/>
      </c>
      <c r="S268" s="91" t="str">
        <f t="shared" ca="1" si="45"/>
        <v/>
      </c>
      <c r="T268" s="90" t="e">
        <f>IF(AND(Q317&lt;$B$24,Q317&lt;$R$14),Q317+1,"")</f>
        <v>#DIV/0!</v>
      </c>
      <c r="U268" s="90" t="str">
        <f t="shared" ca="1" si="46"/>
        <v/>
      </c>
      <c r="V268" s="91" t="str">
        <f t="shared" ca="1" si="47"/>
        <v/>
      </c>
      <c r="W268" s="90" t="e">
        <f>IF(AND(T317&lt;$B$24,T317&lt;$R$14),T317+1,"")</f>
        <v>#DIV/0!</v>
      </c>
      <c r="X268" s="90" t="str">
        <f t="shared" ca="1" si="48"/>
        <v/>
      </c>
      <c r="Y268" s="91" t="str">
        <f t="shared" ca="1" si="49"/>
        <v/>
      </c>
    </row>
    <row r="269" spans="14:25" ht="14.5" x14ac:dyDescent="0.35">
      <c r="N269" s="90" t="e">
        <f t="shared" ref="N269:N317" si="54">IF(AND(N268&lt;$B$24,N268&lt;$R$14),N268+1,"")</f>
        <v>#DIV/0!</v>
      </c>
      <c r="O269" s="90" t="str">
        <f t="shared" ca="1" si="42"/>
        <v/>
      </c>
      <c r="P269" s="91" t="str">
        <f t="shared" ca="1" si="43"/>
        <v/>
      </c>
      <c r="Q269" s="90" t="e">
        <f t="shared" ref="Q269:Q317" si="55">IF(AND(Q268&lt;$B$24,Q268&lt;$R$14),Q268+1,"")</f>
        <v>#DIV/0!</v>
      </c>
      <c r="R269" s="90" t="str">
        <f t="shared" ca="1" si="44"/>
        <v/>
      </c>
      <c r="S269" s="91" t="str">
        <f t="shared" ca="1" si="45"/>
        <v/>
      </c>
      <c r="T269" s="90" t="e">
        <f t="shared" ref="T269:T317" si="56">IF(AND(T268&lt;$B$24,T268&lt;$R$14),T268+1,"")</f>
        <v>#DIV/0!</v>
      </c>
      <c r="U269" s="90" t="str">
        <f t="shared" ca="1" si="46"/>
        <v/>
      </c>
      <c r="V269" s="91" t="str">
        <f t="shared" ca="1" si="47"/>
        <v/>
      </c>
      <c r="W269" s="90" t="e">
        <f t="shared" ref="W269:W317" si="57">IF(AND(W268&lt;$B$24,W268&lt;$R$14),W268+1,"")</f>
        <v>#DIV/0!</v>
      </c>
      <c r="X269" s="90" t="str">
        <f t="shared" ca="1" si="48"/>
        <v/>
      </c>
      <c r="Y269" s="91" t="str">
        <f t="shared" ca="1" si="49"/>
        <v/>
      </c>
    </row>
    <row r="270" spans="14:25" ht="14.5" x14ac:dyDescent="0.35">
      <c r="N270" s="90" t="e">
        <f t="shared" si="54"/>
        <v>#DIV/0!</v>
      </c>
      <c r="O270" s="90" t="str">
        <f t="shared" ca="1" si="42"/>
        <v/>
      </c>
      <c r="P270" s="91" t="str">
        <f t="shared" ca="1" si="43"/>
        <v/>
      </c>
      <c r="Q270" s="90" t="e">
        <f t="shared" si="55"/>
        <v>#DIV/0!</v>
      </c>
      <c r="R270" s="90" t="str">
        <f t="shared" ca="1" si="44"/>
        <v/>
      </c>
      <c r="S270" s="91" t="str">
        <f t="shared" ca="1" si="45"/>
        <v/>
      </c>
      <c r="T270" s="90" t="e">
        <f t="shared" si="56"/>
        <v>#DIV/0!</v>
      </c>
      <c r="U270" s="90" t="str">
        <f t="shared" ca="1" si="46"/>
        <v/>
      </c>
      <c r="V270" s="91" t="str">
        <f t="shared" ca="1" si="47"/>
        <v/>
      </c>
      <c r="W270" s="90" t="e">
        <f t="shared" si="57"/>
        <v>#DIV/0!</v>
      </c>
      <c r="X270" s="90" t="str">
        <f t="shared" ca="1" si="48"/>
        <v/>
      </c>
      <c r="Y270" s="91" t="str">
        <f t="shared" ca="1" si="49"/>
        <v/>
      </c>
    </row>
    <row r="271" spans="14:25" ht="14.5" x14ac:dyDescent="0.35">
      <c r="N271" s="90" t="e">
        <f t="shared" si="54"/>
        <v>#DIV/0!</v>
      </c>
      <c r="O271" s="90" t="str">
        <f t="shared" ca="1" si="42"/>
        <v/>
      </c>
      <c r="P271" s="91" t="str">
        <f t="shared" ca="1" si="43"/>
        <v/>
      </c>
      <c r="Q271" s="90" t="e">
        <f t="shared" si="55"/>
        <v>#DIV/0!</v>
      </c>
      <c r="R271" s="90" t="str">
        <f t="shared" ca="1" si="44"/>
        <v/>
      </c>
      <c r="S271" s="91" t="str">
        <f t="shared" ca="1" si="45"/>
        <v/>
      </c>
      <c r="T271" s="90" t="e">
        <f t="shared" si="56"/>
        <v>#DIV/0!</v>
      </c>
      <c r="U271" s="90" t="str">
        <f t="shared" ca="1" si="46"/>
        <v/>
      </c>
      <c r="V271" s="91" t="str">
        <f t="shared" ca="1" si="47"/>
        <v/>
      </c>
      <c r="W271" s="90" t="e">
        <f t="shared" si="57"/>
        <v>#DIV/0!</v>
      </c>
      <c r="X271" s="90" t="str">
        <f t="shared" ca="1" si="48"/>
        <v/>
      </c>
      <c r="Y271" s="91" t="str">
        <f t="shared" ca="1" si="49"/>
        <v/>
      </c>
    </row>
    <row r="272" spans="14:25" ht="14.5" x14ac:dyDescent="0.35">
      <c r="N272" s="90" t="e">
        <f t="shared" si="54"/>
        <v>#DIV/0!</v>
      </c>
      <c r="O272" s="90" t="str">
        <f t="shared" ca="1" si="42"/>
        <v/>
      </c>
      <c r="P272" s="91" t="str">
        <f t="shared" ca="1" si="43"/>
        <v/>
      </c>
      <c r="Q272" s="90" t="e">
        <f t="shared" si="55"/>
        <v>#DIV/0!</v>
      </c>
      <c r="R272" s="90" t="str">
        <f t="shared" ca="1" si="44"/>
        <v/>
      </c>
      <c r="S272" s="91" t="str">
        <f t="shared" ca="1" si="45"/>
        <v/>
      </c>
      <c r="T272" s="90" t="e">
        <f t="shared" si="56"/>
        <v>#DIV/0!</v>
      </c>
      <c r="U272" s="90" t="str">
        <f t="shared" ca="1" si="46"/>
        <v/>
      </c>
      <c r="V272" s="91" t="str">
        <f t="shared" ca="1" si="47"/>
        <v/>
      </c>
      <c r="W272" s="90" t="e">
        <f t="shared" si="57"/>
        <v>#DIV/0!</v>
      </c>
      <c r="X272" s="90" t="str">
        <f t="shared" ca="1" si="48"/>
        <v/>
      </c>
      <c r="Y272" s="91" t="str">
        <f t="shared" ca="1" si="49"/>
        <v/>
      </c>
    </row>
    <row r="273" spans="14:25" ht="14.5" x14ac:dyDescent="0.35">
      <c r="N273" s="90" t="e">
        <f t="shared" si="54"/>
        <v>#DIV/0!</v>
      </c>
      <c r="O273" s="90" t="str">
        <f t="shared" ca="1" si="42"/>
        <v/>
      </c>
      <c r="P273" s="91" t="str">
        <f t="shared" ca="1" si="43"/>
        <v/>
      </c>
      <c r="Q273" s="90" t="e">
        <f t="shared" si="55"/>
        <v>#DIV/0!</v>
      </c>
      <c r="R273" s="90" t="str">
        <f t="shared" ca="1" si="44"/>
        <v/>
      </c>
      <c r="S273" s="91" t="str">
        <f t="shared" ca="1" si="45"/>
        <v/>
      </c>
      <c r="T273" s="90" t="e">
        <f t="shared" si="56"/>
        <v>#DIV/0!</v>
      </c>
      <c r="U273" s="90" t="str">
        <f t="shared" ca="1" si="46"/>
        <v/>
      </c>
      <c r="V273" s="91" t="str">
        <f t="shared" ca="1" si="47"/>
        <v/>
      </c>
      <c r="W273" s="90" t="e">
        <f t="shared" si="57"/>
        <v>#DIV/0!</v>
      </c>
      <c r="X273" s="90" t="str">
        <f t="shared" ca="1" si="48"/>
        <v/>
      </c>
      <c r="Y273" s="91" t="str">
        <f t="shared" ca="1" si="49"/>
        <v/>
      </c>
    </row>
    <row r="274" spans="14:25" ht="14.5" x14ac:dyDescent="0.35">
      <c r="N274" s="90" t="e">
        <f t="shared" si="54"/>
        <v>#DIV/0!</v>
      </c>
      <c r="O274" s="90" t="str">
        <f t="shared" ref="O274:O337" ca="1" si="58">IF(ISNUMBER(N274),RANDBETWEEN(1,$R$14),"")</f>
        <v/>
      </c>
      <c r="P274" s="91" t="str">
        <f t="shared" ref="P274:P337" ca="1" si="59">IF(O274="","",COUNTIF($O$18:$O$417,O274)+COUNTIF($R$18:$R$417,O274)+COUNTIF($U$18:$U$417,O274)+COUNTIF($X$18:$X$417,O274))</f>
        <v/>
      </c>
      <c r="Q274" s="90" t="e">
        <f t="shared" si="55"/>
        <v>#DIV/0!</v>
      </c>
      <c r="R274" s="90" t="str">
        <f t="shared" ref="R274:R337" ca="1" si="60">IF(ISNUMBER(Q274),RANDBETWEEN(1,$R$14),"")</f>
        <v/>
      </c>
      <c r="S274" s="91" t="str">
        <f t="shared" ref="S274:S337" ca="1" si="61">IF(R274="","",COUNTIF($O$18:$O$417,R274)+COUNTIF($R$18:$R$417,R274)+COUNTIF($U$18:$U$417,R274)+COUNTIF($X$18:$X$417,R274))</f>
        <v/>
      </c>
      <c r="T274" s="90" t="e">
        <f t="shared" si="56"/>
        <v>#DIV/0!</v>
      </c>
      <c r="U274" s="90" t="str">
        <f t="shared" ref="U274:U337" ca="1" si="62">IF(ISNUMBER(T274),RANDBETWEEN(1,$R$14),"")</f>
        <v/>
      </c>
      <c r="V274" s="91" t="str">
        <f t="shared" ref="V274:V337" ca="1" si="63">IF(U274="","",COUNTIF($O$18:$O$417,U274)+COUNTIF($R$18:$R$417,U274)+COUNTIF($U$18:$U$417,U274)+COUNTIF($X$18:$X$417,U274))</f>
        <v/>
      </c>
      <c r="W274" s="90" t="e">
        <f t="shared" si="57"/>
        <v>#DIV/0!</v>
      </c>
      <c r="X274" s="90" t="str">
        <f t="shared" ref="X274:X337" ca="1" si="64">IF(ISNUMBER(W274),RANDBETWEEN(1,$R$14),"")</f>
        <v/>
      </c>
      <c r="Y274" s="91" t="str">
        <f t="shared" ref="Y274:Y337" ca="1" si="65">IF(X274="","",COUNTIF($O$18:$O$417,X274)+COUNTIF($R$18:$R$417,X274)+COUNTIF($U$18:$U$417,X274)+COUNTIF($X$18:$X$417,X274))</f>
        <v/>
      </c>
    </row>
    <row r="275" spans="14:25" ht="14.5" x14ac:dyDescent="0.35">
      <c r="N275" s="90" t="e">
        <f t="shared" si="54"/>
        <v>#DIV/0!</v>
      </c>
      <c r="O275" s="90" t="str">
        <f t="shared" ca="1" si="58"/>
        <v/>
      </c>
      <c r="P275" s="91" t="str">
        <f t="shared" ca="1" si="59"/>
        <v/>
      </c>
      <c r="Q275" s="90" t="e">
        <f t="shared" si="55"/>
        <v>#DIV/0!</v>
      </c>
      <c r="R275" s="90" t="str">
        <f t="shared" ca="1" si="60"/>
        <v/>
      </c>
      <c r="S275" s="91" t="str">
        <f t="shared" ca="1" si="61"/>
        <v/>
      </c>
      <c r="T275" s="90" t="e">
        <f t="shared" si="56"/>
        <v>#DIV/0!</v>
      </c>
      <c r="U275" s="90" t="str">
        <f t="shared" ca="1" si="62"/>
        <v/>
      </c>
      <c r="V275" s="91" t="str">
        <f t="shared" ca="1" si="63"/>
        <v/>
      </c>
      <c r="W275" s="90" t="e">
        <f t="shared" si="57"/>
        <v>#DIV/0!</v>
      </c>
      <c r="X275" s="90" t="str">
        <f t="shared" ca="1" si="64"/>
        <v/>
      </c>
      <c r="Y275" s="91" t="str">
        <f t="shared" ca="1" si="65"/>
        <v/>
      </c>
    </row>
    <row r="276" spans="14:25" ht="14.5" x14ac:dyDescent="0.35">
      <c r="N276" s="90" t="e">
        <f t="shared" si="54"/>
        <v>#DIV/0!</v>
      </c>
      <c r="O276" s="90" t="str">
        <f t="shared" ca="1" si="58"/>
        <v/>
      </c>
      <c r="P276" s="91" t="str">
        <f t="shared" ca="1" si="59"/>
        <v/>
      </c>
      <c r="Q276" s="90" t="e">
        <f t="shared" si="55"/>
        <v>#DIV/0!</v>
      </c>
      <c r="R276" s="90" t="str">
        <f t="shared" ca="1" si="60"/>
        <v/>
      </c>
      <c r="S276" s="91" t="str">
        <f t="shared" ca="1" si="61"/>
        <v/>
      </c>
      <c r="T276" s="90" t="e">
        <f t="shared" si="56"/>
        <v>#DIV/0!</v>
      </c>
      <c r="U276" s="90" t="str">
        <f t="shared" ca="1" si="62"/>
        <v/>
      </c>
      <c r="V276" s="91" t="str">
        <f t="shared" ca="1" si="63"/>
        <v/>
      </c>
      <c r="W276" s="90" t="e">
        <f t="shared" si="57"/>
        <v>#DIV/0!</v>
      </c>
      <c r="X276" s="90" t="str">
        <f t="shared" ca="1" si="64"/>
        <v/>
      </c>
      <c r="Y276" s="91" t="str">
        <f t="shared" ca="1" si="65"/>
        <v/>
      </c>
    </row>
    <row r="277" spans="14:25" ht="14.5" x14ac:dyDescent="0.35">
      <c r="N277" s="90" t="e">
        <f t="shared" si="54"/>
        <v>#DIV/0!</v>
      </c>
      <c r="O277" s="90" t="str">
        <f t="shared" ca="1" si="58"/>
        <v/>
      </c>
      <c r="P277" s="91" t="str">
        <f t="shared" ca="1" si="59"/>
        <v/>
      </c>
      <c r="Q277" s="90" t="e">
        <f t="shared" si="55"/>
        <v>#DIV/0!</v>
      </c>
      <c r="R277" s="90" t="str">
        <f t="shared" ca="1" si="60"/>
        <v/>
      </c>
      <c r="S277" s="91" t="str">
        <f t="shared" ca="1" si="61"/>
        <v/>
      </c>
      <c r="T277" s="90" t="e">
        <f t="shared" si="56"/>
        <v>#DIV/0!</v>
      </c>
      <c r="U277" s="90" t="str">
        <f t="shared" ca="1" si="62"/>
        <v/>
      </c>
      <c r="V277" s="91" t="str">
        <f t="shared" ca="1" si="63"/>
        <v/>
      </c>
      <c r="W277" s="90" t="e">
        <f t="shared" si="57"/>
        <v>#DIV/0!</v>
      </c>
      <c r="X277" s="90" t="str">
        <f t="shared" ca="1" si="64"/>
        <v/>
      </c>
      <c r="Y277" s="91" t="str">
        <f t="shared" ca="1" si="65"/>
        <v/>
      </c>
    </row>
    <row r="278" spans="14:25" ht="14.5" x14ac:dyDescent="0.35">
      <c r="N278" s="90" t="e">
        <f t="shared" si="54"/>
        <v>#DIV/0!</v>
      </c>
      <c r="O278" s="90" t="str">
        <f t="shared" ca="1" si="58"/>
        <v/>
      </c>
      <c r="P278" s="91" t="str">
        <f t="shared" ca="1" si="59"/>
        <v/>
      </c>
      <c r="Q278" s="90" t="e">
        <f t="shared" si="55"/>
        <v>#DIV/0!</v>
      </c>
      <c r="R278" s="90" t="str">
        <f t="shared" ca="1" si="60"/>
        <v/>
      </c>
      <c r="S278" s="91" t="str">
        <f t="shared" ca="1" si="61"/>
        <v/>
      </c>
      <c r="T278" s="90" t="e">
        <f t="shared" si="56"/>
        <v>#DIV/0!</v>
      </c>
      <c r="U278" s="90" t="str">
        <f t="shared" ca="1" si="62"/>
        <v/>
      </c>
      <c r="V278" s="91" t="str">
        <f t="shared" ca="1" si="63"/>
        <v/>
      </c>
      <c r="W278" s="90" t="e">
        <f t="shared" si="57"/>
        <v>#DIV/0!</v>
      </c>
      <c r="X278" s="90" t="str">
        <f t="shared" ca="1" si="64"/>
        <v/>
      </c>
      <c r="Y278" s="91" t="str">
        <f t="shared" ca="1" si="65"/>
        <v/>
      </c>
    </row>
    <row r="279" spans="14:25" ht="14.5" x14ac:dyDescent="0.35">
      <c r="N279" s="90" t="e">
        <f t="shared" si="54"/>
        <v>#DIV/0!</v>
      </c>
      <c r="O279" s="90" t="str">
        <f t="shared" ca="1" si="58"/>
        <v/>
      </c>
      <c r="P279" s="91" t="str">
        <f t="shared" ca="1" si="59"/>
        <v/>
      </c>
      <c r="Q279" s="90" t="e">
        <f t="shared" si="55"/>
        <v>#DIV/0!</v>
      </c>
      <c r="R279" s="90" t="str">
        <f t="shared" ca="1" si="60"/>
        <v/>
      </c>
      <c r="S279" s="91" t="str">
        <f t="shared" ca="1" si="61"/>
        <v/>
      </c>
      <c r="T279" s="90" t="e">
        <f t="shared" si="56"/>
        <v>#DIV/0!</v>
      </c>
      <c r="U279" s="90" t="str">
        <f t="shared" ca="1" si="62"/>
        <v/>
      </c>
      <c r="V279" s="91" t="str">
        <f t="shared" ca="1" si="63"/>
        <v/>
      </c>
      <c r="W279" s="90" t="e">
        <f t="shared" si="57"/>
        <v>#DIV/0!</v>
      </c>
      <c r="X279" s="90" t="str">
        <f t="shared" ca="1" si="64"/>
        <v/>
      </c>
      <c r="Y279" s="91" t="str">
        <f t="shared" ca="1" si="65"/>
        <v/>
      </c>
    </row>
    <row r="280" spans="14:25" ht="14.5" x14ac:dyDescent="0.35">
      <c r="N280" s="90" t="e">
        <f t="shared" si="54"/>
        <v>#DIV/0!</v>
      </c>
      <c r="O280" s="90" t="str">
        <f t="shared" ca="1" si="58"/>
        <v/>
      </c>
      <c r="P280" s="91" t="str">
        <f t="shared" ca="1" si="59"/>
        <v/>
      </c>
      <c r="Q280" s="90" t="e">
        <f t="shared" si="55"/>
        <v>#DIV/0!</v>
      </c>
      <c r="R280" s="90" t="str">
        <f t="shared" ca="1" si="60"/>
        <v/>
      </c>
      <c r="S280" s="91" t="str">
        <f t="shared" ca="1" si="61"/>
        <v/>
      </c>
      <c r="T280" s="90" t="e">
        <f t="shared" si="56"/>
        <v>#DIV/0!</v>
      </c>
      <c r="U280" s="90" t="str">
        <f t="shared" ca="1" si="62"/>
        <v/>
      </c>
      <c r="V280" s="91" t="str">
        <f t="shared" ca="1" si="63"/>
        <v/>
      </c>
      <c r="W280" s="90" t="e">
        <f t="shared" si="57"/>
        <v>#DIV/0!</v>
      </c>
      <c r="X280" s="90" t="str">
        <f t="shared" ca="1" si="64"/>
        <v/>
      </c>
      <c r="Y280" s="91" t="str">
        <f t="shared" ca="1" si="65"/>
        <v/>
      </c>
    </row>
    <row r="281" spans="14:25" ht="14.5" x14ac:dyDescent="0.35">
      <c r="N281" s="90" t="e">
        <f t="shared" si="54"/>
        <v>#DIV/0!</v>
      </c>
      <c r="O281" s="90" t="str">
        <f t="shared" ca="1" si="58"/>
        <v/>
      </c>
      <c r="P281" s="91" t="str">
        <f t="shared" ca="1" si="59"/>
        <v/>
      </c>
      <c r="Q281" s="90" t="e">
        <f t="shared" si="55"/>
        <v>#DIV/0!</v>
      </c>
      <c r="R281" s="90" t="str">
        <f t="shared" ca="1" si="60"/>
        <v/>
      </c>
      <c r="S281" s="91" t="str">
        <f t="shared" ca="1" si="61"/>
        <v/>
      </c>
      <c r="T281" s="90" t="e">
        <f t="shared" si="56"/>
        <v>#DIV/0!</v>
      </c>
      <c r="U281" s="90" t="str">
        <f t="shared" ca="1" si="62"/>
        <v/>
      </c>
      <c r="V281" s="91" t="str">
        <f t="shared" ca="1" si="63"/>
        <v/>
      </c>
      <c r="W281" s="90" t="e">
        <f t="shared" si="57"/>
        <v>#DIV/0!</v>
      </c>
      <c r="X281" s="90" t="str">
        <f t="shared" ca="1" si="64"/>
        <v/>
      </c>
      <c r="Y281" s="91" t="str">
        <f t="shared" ca="1" si="65"/>
        <v/>
      </c>
    </row>
    <row r="282" spans="14:25" ht="14.5" x14ac:dyDescent="0.35">
      <c r="N282" s="90" t="e">
        <f t="shared" si="54"/>
        <v>#DIV/0!</v>
      </c>
      <c r="O282" s="90" t="str">
        <f t="shared" ca="1" si="58"/>
        <v/>
      </c>
      <c r="P282" s="91" t="str">
        <f t="shared" ca="1" si="59"/>
        <v/>
      </c>
      <c r="Q282" s="90" t="e">
        <f t="shared" si="55"/>
        <v>#DIV/0!</v>
      </c>
      <c r="R282" s="90" t="str">
        <f t="shared" ca="1" si="60"/>
        <v/>
      </c>
      <c r="S282" s="91" t="str">
        <f t="shared" ca="1" si="61"/>
        <v/>
      </c>
      <c r="T282" s="90" t="e">
        <f t="shared" si="56"/>
        <v>#DIV/0!</v>
      </c>
      <c r="U282" s="90" t="str">
        <f t="shared" ca="1" si="62"/>
        <v/>
      </c>
      <c r="V282" s="91" t="str">
        <f t="shared" ca="1" si="63"/>
        <v/>
      </c>
      <c r="W282" s="90" t="e">
        <f t="shared" si="57"/>
        <v>#DIV/0!</v>
      </c>
      <c r="X282" s="90" t="str">
        <f t="shared" ca="1" si="64"/>
        <v/>
      </c>
      <c r="Y282" s="91" t="str">
        <f t="shared" ca="1" si="65"/>
        <v/>
      </c>
    </row>
    <row r="283" spans="14:25" ht="14.5" x14ac:dyDescent="0.35">
      <c r="N283" s="90" t="e">
        <f t="shared" si="54"/>
        <v>#DIV/0!</v>
      </c>
      <c r="O283" s="90" t="str">
        <f t="shared" ca="1" si="58"/>
        <v/>
      </c>
      <c r="P283" s="91" t="str">
        <f t="shared" ca="1" si="59"/>
        <v/>
      </c>
      <c r="Q283" s="90" t="e">
        <f t="shared" si="55"/>
        <v>#DIV/0!</v>
      </c>
      <c r="R283" s="90" t="str">
        <f t="shared" ca="1" si="60"/>
        <v/>
      </c>
      <c r="S283" s="91" t="str">
        <f t="shared" ca="1" si="61"/>
        <v/>
      </c>
      <c r="T283" s="90" t="e">
        <f t="shared" si="56"/>
        <v>#DIV/0!</v>
      </c>
      <c r="U283" s="90" t="str">
        <f t="shared" ca="1" si="62"/>
        <v/>
      </c>
      <c r="V283" s="91" t="str">
        <f t="shared" ca="1" si="63"/>
        <v/>
      </c>
      <c r="W283" s="90" t="e">
        <f t="shared" si="57"/>
        <v>#DIV/0!</v>
      </c>
      <c r="X283" s="90" t="str">
        <f t="shared" ca="1" si="64"/>
        <v/>
      </c>
      <c r="Y283" s="91" t="str">
        <f t="shared" ca="1" si="65"/>
        <v/>
      </c>
    </row>
    <row r="284" spans="14:25" ht="14.5" x14ac:dyDescent="0.35">
      <c r="N284" s="90" t="e">
        <f t="shared" si="54"/>
        <v>#DIV/0!</v>
      </c>
      <c r="O284" s="90" t="str">
        <f t="shared" ca="1" si="58"/>
        <v/>
      </c>
      <c r="P284" s="91" t="str">
        <f t="shared" ca="1" si="59"/>
        <v/>
      </c>
      <c r="Q284" s="90" t="e">
        <f t="shared" si="55"/>
        <v>#DIV/0!</v>
      </c>
      <c r="R284" s="90" t="str">
        <f t="shared" ca="1" si="60"/>
        <v/>
      </c>
      <c r="S284" s="91" t="str">
        <f t="shared" ca="1" si="61"/>
        <v/>
      </c>
      <c r="T284" s="90" t="e">
        <f t="shared" si="56"/>
        <v>#DIV/0!</v>
      </c>
      <c r="U284" s="90" t="str">
        <f t="shared" ca="1" si="62"/>
        <v/>
      </c>
      <c r="V284" s="91" t="str">
        <f t="shared" ca="1" si="63"/>
        <v/>
      </c>
      <c r="W284" s="90" t="e">
        <f t="shared" si="57"/>
        <v>#DIV/0!</v>
      </c>
      <c r="X284" s="90" t="str">
        <f t="shared" ca="1" si="64"/>
        <v/>
      </c>
      <c r="Y284" s="91" t="str">
        <f t="shared" ca="1" si="65"/>
        <v/>
      </c>
    </row>
    <row r="285" spans="14:25" ht="14.5" x14ac:dyDescent="0.35">
      <c r="N285" s="90" t="e">
        <f t="shared" si="54"/>
        <v>#DIV/0!</v>
      </c>
      <c r="O285" s="90" t="str">
        <f t="shared" ca="1" si="58"/>
        <v/>
      </c>
      <c r="P285" s="91" t="str">
        <f t="shared" ca="1" si="59"/>
        <v/>
      </c>
      <c r="Q285" s="90" t="e">
        <f t="shared" si="55"/>
        <v>#DIV/0!</v>
      </c>
      <c r="R285" s="90" t="str">
        <f t="shared" ca="1" si="60"/>
        <v/>
      </c>
      <c r="S285" s="91" t="str">
        <f t="shared" ca="1" si="61"/>
        <v/>
      </c>
      <c r="T285" s="90" t="e">
        <f t="shared" si="56"/>
        <v>#DIV/0!</v>
      </c>
      <c r="U285" s="90" t="str">
        <f t="shared" ca="1" si="62"/>
        <v/>
      </c>
      <c r="V285" s="91" t="str">
        <f t="shared" ca="1" si="63"/>
        <v/>
      </c>
      <c r="W285" s="90" t="e">
        <f t="shared" si="57"/>
        <v>#DIV/0!</v>
      </c>
      <c r="X285" s="90" t="str">
        <f t="shared" ca="1" si="64"/>
        <v/>
      </c>
      <c r="Y285" s="91" t="str">
        <f t="shared" ca="1" si="65"/>
        <v/>
      </c>
    </row>
    <row r="286" spans="14:25" ht="14.5" x14ac:dyDescent="0.35">
      <c r="N286" s="90" t="e">
        <f t="shared" si="54"/>
        <v>#DIV/0!</v>
      </c>
      <c r="O286" s="90" t="str">
        <f t="shared" ca="1" si="58"/>
        <v/>
      </c>
      <c r="P286" s="91" t="str">
        <f t="shared" ca="1" si="59"/>
        <v/>
      </c>
      <c r="Q286" s="90" t="e">
        <f t="shared" si="55"/>
        <v>#DIV/0!</v>
      </c>
      <c r="R286" s="90" t="str">
        <f t="shared" ca="1" si="60"/>
        <v/>
      </c>
      <c r="S286" s="91" t="str">
        <f t="shared" ca="1" si="61"/>
        <v/>
      </c>
      <c r="T286" s="90" t="e">
        <f t="shared" si="56"/>
        <v>#DIV/0!</v>
      </c>
      <c r="U286" s="90" t="str">
        <f t="shared" ca="1" si="62"/>
        <v/>
      </c>
      <c r="V286" s="91" t="str">
        <f t="shared" ca="1" si="63"/>
        <v/>
      </c>
      <c r="W286" s="90" t="e">
        <f t="shared" si="57"/>
        <v>#DIV/0!</v>
      </c>
      <c r="X286" s="90" t="str">
        <f t="shared" ca="1" si="64"/>
        <v/>
      </c>
      <c r="Y286" s="91" t="str">
        <f t="shared" ca="1" si="65"/>
        <v/>
      </c>
    </row>
    <row r="287" spans="14:25" ht="14.5" x14ac:dyDescent="0.35">
      <c r="N287" s="90" t="e">
        <f t="shared" si="54"/>
        <v>#DIV/0!</v>
      </c>
      <c r="O287" s="90" t="str">
        <f t="shared" ca="1" si="58"/>
        <v/>
      </c>
      <c r="P287" s="91" t="str">
        <f t="shared" ca="1" si="59"/>
        <v/>
      </c>
      <c r="Q287" s="90" t="e">
        <f t="shared" si="55"/>
        <v>#DIV/0!</v>
      </c>
      <c r="R287" s="90" t="str">
        <f t="shared" ca="1" si="60"/>
        <v/>
      </c>
      <c r="S287" s="91" t="str">
        <f t="shared" ca="1" si="61"/>
        <v/>
      </c>
      <c r="T287" s="90" t="e">
        <f t="shared" si="56"/>
        <v>#DIV/0!</v>
      </c>
      <c r="U287" s="90" t="str">
        <f t="shared" ca="1" si="62"/>
        <v/>
      </c>
      <c r="V287" s="91" t="str">
        <f t="shared" ca="1" si="63"/>
        <v/>
      </c>
      <c r="W287" s="90" t="e">
        <f t="shared" si="57"/>
        <v>#DIV/0!</v>
      </c>
      <c r="X287" s="90" t="str">
        <f t="shared" ca="1" si="64"/>
        <v/>
      </c>
      <c r="Y287" s="91" t="str">
        <f t="shared" ca="1" si="65"/>
        <v/>
      </c>
    </row>
    <row r="288" spans="14:25" ht="14.5" x14ac:dyDescent="0.35">
      <c r="N288" s="90" t="e">
        <f t="shared" si="54"/>
        <v>#DIV/0!</v>
      </c>
      <c r="O288" s="90" t="str">
        <f t="shared" ca="1" si="58"/>
        <v/>
      </c>
      <c r="P288" s="91" t="str">
        <f t="shared" ca="1" si="59"/>
        <v/>
      </c>
      <c r="Q288" s="90" t="e">
        <f t="shared" si="55"/>
        <v>#DIV/0!</v>
      </c>
      <c r="R288" s="90" t="str">
        <f t="shared" ca="1" si="60"/>
        <v/>
      </c>
      <c r="S288" s="91" t="str">
        <f t="shared" ca="1" si="61"/>
        <v/>
      </c>
      <c r="T288" s="90" t="e">
        <f t="shared" si="56"/>
        <v>#DIV/0!</v>
      </c>
      <c r="U288" s="90" t="str">
        <f t="shared" ca="1" si="62"/>
        <v/>
      </c>
      <c r="V288" s="91" t="str">
        <f t="shared" ca="1" si="63"/>
        <v/>
      </c>
      <c r="W288" s="90" t="e">
        <f t="shared" si="57"/>
        <v>#DIV/0!</v>
      </c>
      <c r="X288" s="90" t="str">
        <f t="shared" ca="1" si="64"/>
        <v/>
      </c>
      <c r="Y288" s="91" t="str">
        <f t="shared" ca="1" si="65"/>
        <v/>
      </c>
    </row>
    <row r="289" spans="14:25" ht="14.5" x14ac:dyDescent="0.35">
      <c r="N289" s="90" t="e">
        <f t="shared" si="54"/>
        <v>#DIV/0!</v>
      </c>
      <c r="O289" s="90" t="str">
        <f t="shared" ca="1" si="58"/>
        <v/>
      </c>
      <c r="P289" s="91" t="str">
        <f t="shared" ca="1" si="59"/>
        <v/>
      </c>
      <c r="Q289" s="90" t="e">
        <f t="shared" si="55"/>
        <v>#DIV/0!</v>
      </c>
      <c r="R289" s="90" t="str">
        <f t="shared" ca="1" si="60"/>
        <v/>
      </c>
      <c r="S289" s="91" t="str">
        <f t="shared" ca="1" si="61"/>
        <v/>
      </c>
      <c r="T289" s="90" t="e">
        <f t="shared" si="56"/>
        <v>#DIV/0!</v>
      </c>
      <c r="U289" s="90" t="str">
        <f t="shared" ca="1" si="62"/>
        <v/>
      </c>
      <c r="V289" s="91" t="str">
        <f t="shared" ca="1" si="63"/>
        <v/>
      </c>
      <c r="W289" s="90" t="e">
        <f t="shared" si="57"/>
        <v>#DIV/0!</v>
      </c>
      <c r="X289" s="90" t="str">
        <f t="shared" ca="1" si="64"/>
        <v/>
      </c>
      <c r="Y289" s="91" t="str">
        <f t="shared" ca="1" si="65"/>
        <v/>
      </c>
    </row>
    <row r="290" spans="14:25" ht="14.5" x14ac:dyDescent="0.35">
      <c r="N290" s="90" t="e">
        <f t="shared" si="54"/>
        <v>#DIV/0!</v>
      </c>
      <c r="O290" s="90" t="str">
        <f t="shared" ca="1" si="58"/>
        <v/>
      </c>
      <c r="P290" s="91" t="str">
        <f t="shared" ca="1" si="59"/>
        <v/>
      </c>
      <c r="Q290" s="90" t="e">
        <f t="shared" si="55"/>
        <v>#DIV/0!</v>
      </c>
      <c r="R290" s="90" t="str">
        <f t="shared" ca="1" si="60"/>
        <v/>
      </c>
      <c r="S290" s="91" t="str">
        <f t="shared" ca="1" si="61"/>
        <v/>
      </c>
      <c r="T290" s="90" t="e">
        <f t="shared" si="56"/>
        <v>#DIV/0!</v>
      </c>
      <c r="U290" s="90" t="str">
        <f t="shared" ca="1" si="62"/>
        <v/>
      </c>
      <c r="V290" s="91" t="str">
        <f t="shared" ca="1" si="63"/>
        <v/>
      </c>
      <c r="W290" s="90" t="e">
        <f t="shared" si="57"/>
        <v>#DIV/0!</v>
      </c>
      <c r="X290" s="90" t="str">
        <f t="shared" ca="1" si="64"/>
        <v/>
      </c>
      <c r="Y290" s="91" t="str">
        <f t="shared" ca="1" si="65"/>
        <v/>
      </c>
    </row>
    <row r="291" spans="14:25" ht="14.5" x14ac:dyDescent="0.35">
      <c r="N291" s="90" t="e">
        <f t="shared" si="54"/>
        <v>#DIV/0!</v>
      </c>
      <c r="O291" s="90" t="str">
        <f t="shared" ca="1" si="58"/>
        <v/>
      </c>
      <c r="P291" s="91" t="str">
        <f t="shared" ca="1" si="59"/>
        <v/>
      </c>
      <c r="Q291" s="90" t="e">
        <f t="shared" si="55"/>
        <v>#DIV/0!</v>
      </c>
      <c r="R291" s="90" t="str">
        <f t="shared" ca="1" si="60"/>
        <v/>
      </c>
      <c r="S291" s="91" t="str">
        <f t="shared" ca="1" si="61"/>
        <v/>
      </c>
      <c r="T291" s="90" t="e">
        <f t="shared" si="56"/>
        <v>#DIV/0!</v>
      </c>
      <c r="U291" s="90" t="str">
        <f t="shared" ca="1" si="62"/>
        <v/>
      </c>
      <c r="V291" s="91" t="str">
        <f t="shared" ca="1" si="63"/>
        <v/>
      </c>
      <c r="W291" s="90" t="e">
        <f t="shared" si="57"/>
        <v>#DIV/0!</v>
      </c>
      <c r="X291" s="90" t="str">
        <f t="shared" ca="1" si="64"/>
        <v/>
      </c>
      <c r="Y291" s="91" t="str">
        <f t="shared" ca="1" si="65"/>
        <v/>
      </c>
    </row>
    <row r="292" spans="14:25" ht="14.5" x14ac:dyDescent="0.35">
      <c r="N292" s="90" t="e">
        <f t="shared" si="54"/>
        <v>#DIV/0!</v>
      </c>
      <c r="O292" s="90" t="str">
        <f t="shared" ca="1" si="58"/>
        <v/>
      </c>
      <c r="P292" s="91" t="str">
        <f t="shared" ca="1" si="59"/>
        <v/>
      </c>
      <c r="Q292" s="90" t="e">
        <f t="shared" si="55"/>
        <v>#DIV/0!</v>
      </c>
      <c r="R292" s="90" t="str">
        <f t="shared" ca="1" si="60"/>
        <v/>
      </c>
      <c r="S292" s="91" t="str">
        <f t="shared" ca="1" si="61"/>
        <v/>
      </c>
      <c r="T292" s="90" t="e">
        <f t="shared" si="56"/>
        <v>#DIV/0!</v>
      </c>
      <c r="U292" s="90" t="str">
        <f t="shared" ca="1" si="62"/>
        <v/>
      </c>
      <c r="V292" s="91" t="str">
        <f t="shared" ca="1" si="63"/>
        <v/>
      </c>
      <c r="W292" s="90" t="e">
        <f t="shared" si="57"/>
        <v>#DIV/0!</v>
      </c>
      <c r="X292" s="90" t="str">
        <f t="shared" ca="1" si="64"/>
        <v/>
      </c>
      <c r="Y292" s="91" t="str">
        <f t="shared" ca="1" si="65"/>
        <v/>
      </c>
    </row>
    <row r="293" spans="14:25" ht="14.5" x14ac:dyDescent="0.35">
      <c r="N293" s="90" t="e">
        <f t="shared" si="54"/>
        <v>#DIV/0!</v>
      </c>
      <c r="O293" s="90" t="str">
        <f t="shared" ca="1" si="58"/>
        <v/>
      </c>
      <c r="P293" s="91" t="str">
        <f t="shared" ca="1" si="59"/>
        <v/>
      </c>
      <c r="Q293" s="90" t="e">
        <f t="shared" si="55"/>
        <v>#DIV/0!</v>
      </c>
      <c r="R293" s="90" t="str">
        <f t="shared" ca="1" si="60"/>
        <v/>
      </c>
      <c r="S293" s="91" t="str">
        <f t="shared" ca="1" si="61"/>
        <v/>
      </c>
      <c r="T293" s="90" t="e">
        <f t="shared" si="56"/>
        <v>#DIV/0!</v>
      </c>
      <c r="U293" s="90" t="str">
        <f t="shared" ca="1" si="62"/>
        <v/>
      </c>
      <c r="V293" s="91" t="str">
        <f t="shared" ca="1" si="63"/>
        <v/>
      </c>
      <c r="W293" s="90" t="e">
        <f t="shared" si="57"/>
        <v>#DIV/0!</v>
      </c>
      <c r="X293" s="90" t="str">
        <f t="shared" ca="1" si="64"/>
        <v/>
      </c>
      <c r="Y293" s="91" t="str">
        <f t="shared" ca="1" si="65"/>
        <v/>
      </c>
    </row>
    <row r="294" spans="14:25" ht="14.5" x14ac:dyDescent="0.35">
      <c r="N294" s="90" t="e">
        <f t="shared" si="54"/>
        <v>#DIV/0!</v>
      </c>
      <c r="O294" s="90" t="str">
        <f t="shared" ca="1" si="58"/>
        <v/>
      </c>
      <c r="P294" s="91" t="str">
        <f t="shared" ca="1" si="59"/>
        <v/>
      </c>
      <c r="Q294" s="90" t="e">
        <f t="shared" si="55"/>
        <v>#DIV/0!</v>
      </c>
      <c r="R294" s="90" t="str">
        <f t="shared" ca="1" si="60"/>
        <v/>
      </c>
      <c r="S294" s="91" t="str">
        <f t="shared" ca="1" si="61"/>
        <v/>
      </c>
      <c r="T294" s="90" t="e">
        <f t="shared" si="56"/>
        <v>#DIV/0!</v>
      </c>
      <c r="U294" s="90" t="str">
        <f t="shared" ca="1" si="62"/>
        <v/>
      </c>
      <c r="V294" s="91" t="str">
        <f t="shared" ca="1" si="63"/>
        <v/>
      </c>
      <c r="W294" s="90" t="e">
        <f t="shared" si="57"/>
        <v>#DIV/0!</v>
      </c>
      <c r="X294" s="90" t="str">
        <f t="shared" ca="1" si="64"/>
        <v/>
      </c>
      <c r="Y294" s="91" t="str">
        <f t="shared" ca="1" si="65"/>
        <v/>
      </c>
    </row>
    <row r="295" spans="14:25" ht="14.5" x14ac:dyDescent="0.35">
      <c r="N295" s="90" t="e">
        <f t="shared" si="54"/>
        <v>#DIV/0!</v>
      </c>
      <c r="O295" s="90" t="str">
        <f t="shared" ca="1" si="58"/>
        <v/>
      </c>
      <c r="P295" s="91" t="str">
        <f t="shared" ca="1" si="59"/>
        <v/>
      </c>
      <c r="Q295" s="90" t="e">
        <f t="shared" si="55"/>
        <v>#DIV/0!</v>
      </c>
      <c r="R295" s="90" t="str">
        <f t="shared" ca="1" si="60"/>
        <v/>
      </c>
      <c r="S295" s="91" t="str">
        <f t="shared" ca="1" si="61"/>
        <v/>
      </c>
      <c r="T295" s="90" t="e">
        <f t="shared" si="56"/>
        <v>#DIV/0!</v>
      </c>
      <c r="U295" s="90" t="str">
        <f t="shared" ca="1" si="62"/>
        <v/>
      </c>
      <c r="V295" s="91" t="str">
        <f t="shared" ca="1" si="63"/>
        <v/>
      </c>
      <c r="W295" s="90" t="e">
        <f t="shared" si="57"/>
        <v>#DIV/0!</v>
      </c>
      <c r="X295" s="90" t="str">
        <f t="shared" ca="1" si="64"/>
        <v/>
      </c>
      <c r="Y295" s="91" t="str">
        <f t="shared" ca="1" si="65"/>
        <v/>
      </c>
    </row>
    <row r="296" spans="14:25" ht="14.5" x14ac:dyDescent="0.35">
      <c r="N296" s="90" t="e">
        <f t="shared" si="54"/>
        <v>#DIV/0!</v>
      </c>
      <c r="O296" s="90" t="str">
        <f t="shared" ca="1" si="58"/>
        <v/>
      </c>
      <c r="P296" s="91" t="str">
        <f t="shared" ca="1" si="59"/>
        <v/>
      </c>
      <c r="Q296" s="90" t="e">
        <f t="shared" si="55"/>
        <v>#DIV/0!</v>
      </c>
      <c r="R296" s="90" t="str">
        <f t="shared" ca="1" si="60"/>
        <v/>
      </c>
      <c r="S296" s="91" t="str">
        <f t="shared" ca="1" si="61"/>
        <v/>
      </c>
      <c r="T296" s="90" t="e">
        <f t="shared" si="56"/>
        <v>#DIV/0!</v>
      </c>
      <c r="U296" s="90" t="str">
        <f t="shared" ca="1" si="62"/>
        <v/>
      </c>
      <c r="V296" s="91" t="str">
        <f t="shared" ca="1" si="63"/>
        <v/>
      </c>
      <c r="W296" s="90" t="e">
        <f t="shared" si="57"/>
        <v>#DIV/0!</v>
      </c>
      <c r="X296" s="90" t="str">
        <f t="shared" ca="1" si="64"/>
        <v/>
      </c>
      <c r="Y296" s="91" t="str">
        <f t="shared" ca="1" si="65"/>
        <v/>
      </c>
    </row>
    <row r="297" spans="14:25" ht="14.5" x14ac:dyDescent="0.35">
      <c r="N297" s="90" t="e">
        <f t="shared" si="54"/>
        <v>#DIV/0!</v>
      </c>
      <c r="O297" s="90" t="str">
        <f t="shared" ca="1" si="58"/>
        <v/>
      </c>
      <c r="P297" s="91" t="str">
        <f t="shared" ca="1" si="59"/>
        <v/>
      </c>
      <c r="Q297" s="90" t="e">
        <f t="shared" si="55"/>
        <v>#DIV/0!</v>
      </c>
      <c r="R297" s="90" t="str">
        <f t="shared" ca="1" si="60"/>
        <v/>
      </c>
      <c r="S297" s="91" t="str">
        <f t="shared" ca="1" si="61"/>
        <v/>
      </c>
      <c r="T297" s="90" t="e">
        <f t="shared" si="56"/>
        <v>#DIV/0!</v>
      </c>
      <c r="U297" s="90" t="str">
        <f t="shared" ca="1" si="62"/>
        <v/>
      </c>
      <c r="V297" s="91" t="str">
        <f t="shared" ca="1" si="63"/>
        <v/>
      </c>
      <c r="W297" s="90" t="e">
        <f t="shared" si="57"/>
        <v>#DIV/0!</v>
      </c>
      <c r="X297" s="90" t="str">
        <f t="shared" ca="1" si="64"/>
        <v/>
      </c>
      <c r="Y297" s="91" t="str">
        <f t="shared" ca="1" si="65"/>
        <v/>
      </c>
    </row>
    <row r="298" spans="14:25" ht="14.5" x14ac:dyDescent="0.35">
      <c r="N298" s="90" t="e">
        <f t="shared" si="54"/>
        <v>#DIV/0!</v>
      </c>
      <c r="O298" s="90" t="str">
        <f t="shared" ca="1" si="58"/>
        <v/>
      </c>
      <c r="P298" s="91" t="str">
        <f t="shared" ca="1" si="59"/>
        <v/>
      </c>
      <c r="Q298" s="90" t="e">
        <f t="shared" si="55"/>
        <v>#DIV/0!</v>
      </c>
      <c r="R298" s="90" t="str">
        <f t="shared" ca="1" si="60"/>
        <v/>
      </c>
      <c r="S298" s="91" t="str">
        <f t="shared" ca="1" si="61"/>
        <v/>
      </c>
      <c r="T298" s="90" t="e">
        <f t="shared" si="56"/>
        <v>#DIV/0!</v>
      </c>
      <c r="U298" s="90" t="str">
        <f t="shared" ca="1" si="62"/>
        <v/>
      </c>
      <c r="V298" s="91" t="str">
        <f t="shared" ca="1" si="63"/>
        <v/>
      </c>
      <c r="W298" s="90" t="e">
        <f t="shared" si="57"/>
        <v>#DIV/0!</v>
      </c>
      <c r="X298" s="90" t="str">
        <f t="shared" ca="1" si="64"/>
        <v/>
      </c>
      <c r="Y298" s="91" t="str">
        <f t="shared" ca="1" si="65"/>
        <v/>
      </c>
    </row>
    <row r="299" spans="14:25" ht="14.5" x14ac:dyDescent="0.35">
      <c r="N299" s="90" t="e">
        <f t="shared" si="54"/>
        <v>#DIV/0!</v>
      </c>
      <c r="O299" s="90" t="str">
        <f t="shared" ca="1" si="58"/>
        <v/>
      </c>
      <c r="P299" s="91" t="str">
        <f t="shared" ca="1" si="59"/>
        <v/>
      </c>
      <c r="Q299" s="90" t="e">
        <f t="shared" si="55"/>
        <v>#DIV/0!</v>
      </c>
      <c r="R299" s="90" t="str">
        <f t="shared" ca="1" si="60"/>
        <v/>
      </c>
      <c r="S299" s="91" t="str">
        <f t="shared" ca="1" si="61"/>
        <v/>
      </c>
      <c r="T299" s="90" t="e">
        <f t="shared" si="56"/>
        <v>#DIV/0!</v>
      </c>
      <c r="U299" s="90" t="str">
        <f t="shared" ca="1" si="62"/>
        <v/>
      </c>
      <c r="V299" s="91" t="str">
        <f t="shared" ca="1" si="63"/>
        <v/>
      </c>
      <c r="W299" s="90" t="e">
        <f t="shared" si="57"/>
        <v>#DIV/0!</v>
      </c>
      <c r="X299" s="90" t="str">
        <f t="shared" ca="1" si="64"/>
        <v/>
      </c>
      <c r="Y299" s="91" t="str">
        <f t="shared" ca="1" si="65"/>
        <v/>
      </c>
    </row>
    <row r="300" spans="14:25" ht="14.5" x14ac:dyDescent="0.35">
      <c r="N300" s="90" t="e">
        <f t="shared" si="54"/>
        <v>#DIV/0!</v>
      </c>
      <c r="O300" s="90" t="str">
        <f t="shared" ca="1" si="58"/>
        <v/>
      </c>
      <c r="P300" s="91" t="str">
        <f t="shared" ca="1" si="59"/>
        <v/>
      </c>
      <c r="Q300" s="90" t="e">
        <f t="shared" si="55"/>
        <v>#DIV/0!</v>
      </c>
      <c r="R300" s="90" t="str">
        <f t="shared" ca="1" si="60"/>
        <v/>
      </c>
      <c r="S300" s="91" t="str">
        <f t="shared" ca="1" si="61"/>
        <v/>
      </c>
      <c r="T300" s="90" t="e">
        <f t="shared" si="56"/>
        <v>#DIV/0!</v>
      </c>
      <c r="U300" s="90" t="str">
        <f t="shared" ca="1" si="62"/>
        <v/>
      </c>
      <c r="V300" s="91" t="str">
        <f t="shared" ca="1" si="63"/>
        <v/>
      </c>
      <c r="W300" s="90" t="e">
        <f t="shared" si="57"/>
        <v>#DIV/0!</v>
      </c>
      <c r="X300" s="90" t="str">
        <f t="shared" ca="1" si="64"/>
        <v/>
      </c>
      <c r="Y300" s="91" t="str">
        <f t="shared" ca="1" si="65"/>
        <v/>
      </c>
    </row>
    <row r="301" spans="14:25" ht="14.5" x14ac:dyDescent="0.35">
      <c r="N301" s="90" t="e">
        <f t="shared" si="54"/>
        <v>#DIV/0!</v>
      </c>
      <c r="O301" s="90" t="str">
        <f t="shared" ca="1" si="58"/>
        <v/>
      </c>
      <c r="P301" s="91" t="str">
        <f t="shared" ca="1" si="59"/>
        <v/>
      </c>
      <c r="Q301" s="90" t="e">
        <f t="shared" si="55"/>
        <v>#DIV/0!</v>
      </c>
      <c r="R301" s="90" t="str">
        <f t="shared" ca="1" si="60"/>
        <v/>
      </c>
      <c r="S301" s="91" t="str">
        <f t="shared" ca="1" si="61"/>
        <v/>
      </c>
      <c r="T301" s="90" t="e">
        <f t="shared" si="56"/>
        <v>#DIV/0!</v>
      </c>
      <c r="U301" s="90" t="str">
        <f t="shared" ca="1" si="62"/>
        <v/>
      </c>
      <c r="V301" s="91" t="str">
        <f t="shared" ca="1" si="63"/>
        <v/>
      </c>
      <c r="W301" s="90" t="e">
        <f t="shared" si="57"/>
        <v>#DIV/0!</v>
      </c>
      <c r="X301" s="90" t="str">
        <f t="shared" ca="1" si="64"/>
        <v/>
      </c>
      <c r="Y301" s="91" t="str">
        <f t="shared" ca="1" si="65"/>
        <v/>
      </c>
    </row>
    <row r="302" spans="14:25" ht="14.5" x14ac:dyDescent="0.35">
      <c r="N302" s="90" t="e">
        <f t="shared" si="54"/>
        <v>#DIV/0!</v>
      </c>
      <c r="O302" s="90" t="str">
        <f t="shared" ca="1" si="58"/>
        <v/>
      </c>
      <c r="P302" s="91" t="str">
        <f t="shared" ca="1" si="59"/>
        <v/>
      </c>
      <c r="Q302" s="90" t="e">
        <f t="shared" si="55"/>
        <v>#DIV/0!</v>
      </c>
      <c r="R302" s="90" t="str">
        <f t="shared" ca="1" si="60"/>
        <v/>
      </c>
      <c r="S302" s="91" t="str">
        <f t="shared" ca="1" si="61"/>
        <v/>
      </c>
      <c r="T302" s="90" t="e">
        <f t="shared" si="56"/>
        <v>#DIV/0!</v>
      </c>
      <c r="U302" s="90" t="str">
        <f t="shared" ca="1" si="62"/>
        <v/>
      </c>
      <c r="V302" s="91" t="str">
        <f t="shared" ca="1" si="63"/>
        <v/>
      </c>
      <c r="W302" s="90" t="e">
        <f t="shared" si="57"/>
        <v>#DIV/0!</v>
      </c>
      <c r="X302" s="90" t="str">
        <f t="shared" ca="1" si="64"/>
        <v/>
      </c>
      <c r="Y302" s="91" t="str">
        <f t="shared" ca="1" si="65"/>
        <v/>
      </c>
    </row>
    <row r="303" spans="14:25" ht="14.5" x14ac:dyDescent="0.35">
      <c r="N303" s="90" t="e">
        <f t="shared" si="54"/>
        <v>#DIV/0!</v>
      </c>
      <c r="O303" s="90" t="str">
        <f t="shared" ca="1" si="58"/>
        <v/>
      </c>
      <c r="P303" s="91" t="str">
        <f t="shared" ca="1" si="59"/>
        <v/>
      </c>
      <c r="Q303" s="90" t="e">
        <f t="shared" si="55"/>
        <v>#DIV/0!</v>
      </c>
      <c r="R303" s="90" t="str">
        <f t="shared" ca="1" si="60"/>
        <v/>
      </c>
      <c r="S303" s="91" t="str">
        <f t="shared" ca="1" si="61"/>
        <v/>
      </c>
      <c r="T303" s="90" t="e">
        <f t="shared" si="56"/>
        <v>#DIV/0!</v>
      </c>
      <c r="U303" s="90" t="str">
        <f t="shared" ca="1" si="62"/>
        <v/>
      </c>
      <c r="V303" s="91" t="str">
        <f t="shared" ca="1" si="63"/>
        <v/>
      </c>
      <c r="W303" s="90" t="e">
        <f t="shared" si="57"/>
        <v>#DIV/0!</v>
      </c>
      <c r="X303" s="90" t="str">
        <f t="shared" ca="1" si="64"/>
        <v/>
      </c>
      <c r="Y303" s="91" t="str">
        <f t="shared" ca="1" si="65"/>
        <v/>
      </c>
    </row>
    <row r="304" spans="14:25" ht="14.5" x14ac:dyDescent="0.35">
      <c r="N304" s="90" t="e">
        <f t="shared" si="54"/>
        <v>#DIV/0!</v>
      </c>
      <c r="O304" s="90" t="str">
        <f t="shared" ca="1" si="58"/>
        <v/>
      </c>
      <c r="P304" s="91" t="str">
        <f t="shared" ca="1" si="59"/>
        <v/>
      </c>
      <c r="Q304" s="90" t="e">
        <f t="shared" si="55"/>
        <v>#DIV/0!</v>
      </c>
      <c r="R304" s="90" t="str">
        <f t="shared" ca="1" si="60"/>
        <v/>
      </c>
      <c r="S304" s="91" t="str">
        <f t="shared" ca="1" si="61"/>
        <v/>
      </c>
      <c r="T304" s="90" t="e">
        <f t="shared" si="56"/>
        <v>#DIV/0!</v>
      </c>
      <c r="U304" s="90" t="str">
        <f t="shared" ca="1" si="62"/>
        <v/>
      </c>
      <c r="V304" s="91" t="str">
        <f t="shared" ca="1" si="63"/>
        <v/>
      </c>
      <c r="W304" s="90" t="e">
        <f t="shared" si="57"/>
        <v>#DIV/0!</v>
      </c>
      <c r="X304" s="90" t="str">
        <f t="shared" ca="1" si="64"/>
        <v/>
      </c>
      <c r="Y304" s="91" t="str">
        <f t="shared" ca="1" si="65"/>
        <v/>
      </c>
    </row>
    <row r="305" spans="14:25" ht="14.5" x14ac:dyDescent="0.35">
      <c r="N305" s="90" t="e">
        <f t="shared" si="54"/>
        <v>#DIV/0!</v>
      </c>
      <c r="O305" s="90" t="str">
        <f t="shared" ca="1" si="58"/>
        <v/>
      </c>
      <c r="P305" s="91" t="str">
        <f t="shared" ca="1" si="59"/>
        <v/>
      </c>
      <c r="Q305" s="90" t="e">
        <f t="shared" si="55"/>
        <v>#DIV/0!</v>
      </c>
      <c r="R305" s="90" t="str">
        <f t="shared" ca="1" si="60"/>
        <v/>
      </c>
      <c r="S305" s="91" t="str">
        <f t="shared" ca="1" si="61"/>
        <v/>
      </c>
      <c r="T305" s="90" t="e">
        <f t="shared" si="56"/>
        <v>#DIV/0!</v>
      </c>
      <c r="U305" s="90" t="str">
        <f t="shared" ca="1" si="62"/>
        <v/>
      </c>
      <c r="V305" s="91" t="str">
        <f t="shared" ca="1" si="63"/>
        <v/>
      </c>
      <c r="W305" s="90" t="e">
        <f t="shared" si="57"/>
        <v>#DIV/0!</v>
      </c>
      <c r="X305" s="90" t="str">
        <f t="shared" ca="1" si="64"/>
        <v/>
      </c>
      <c r="Y305" s="91" t="str">
        <f t="shared" ca="1" si="65"/>
        <v/>
      </c>
    </row>
    <row r="306" spans="14:25" ht="14.5" x14ac:dyDescent="0.35">
      <c r="N306" s="90" t="e">
        <f t="shared" si="54"/>
        <v>#DIV/0!</v>
      </c>
      <c r="O306" s="90" t="str">
        <f t="shared" ca="1" si="58"/>
        <v/>
      </c>
      <c r="P306" s="91" t="str">
        <f t="shared" ca="1" si="59"/>
        <v/>
      </c>
      <c r="Q306" s="90" t="e">
        <f t="shared" si="55"/>
        <v>#DIV/0!</v>
      </c>
      <c r="R306" s="90" t="str">
        <f t="shared" ca="1" si="60"/>
        <v/>
      </c>
      <c r="S306" s="91" t="str">
        <f t="shared" ca="1" si="61"/>
        <v/>
      </c>
      <c r="T306" s="90" t="e">
        <f t="shared" si="56"/>
        <v>#DIV/0!</v>
      </c>
      <c r="U306" s="90" t="str">
        <f t="shared" ca="1" si="62"/>
        <v/>
      </c>
      <c r="V306" s="91" t="str">
        <f t="shared" ca="1" si="63"/>
        <v/>
      </c>
      <c r="W306" s="90" t="e">
        <f t="shared" si="57"/>
        <v>#DIV/0!</v>
      </c>
      <c r="X306" s="90" t="str">
        <f t="shared" ca="1" si="64"/>
        <v/>
      </c>
      <c r="Y306" s="91" t="str">
        <f t="shared" ca="1" si="65"/>
        <v/>
      </c>
    </row>
    <row r="307" spans="14:25" ht="14.5" x14ac:dyDescent="0.35">
      <c r="N307" s="90" t="e">
        <f t="shared" si="54"/>
        <v>#DIV/0!</v>
      </c>
      <c r="O307" s="90" t="str">
        <f t="shared" ca="1" si="58"/>
        <v/>
      </c>
      <c r="P307" s="91" t="str">
        <f t="shared" ca="1" si="59"/>
        <v/>
      </c>
      <c r="Q307" s="90" t="e">
        <f t="shared" si="55"/>
        <v>#DIV/0!</v>
      </c>
      <c r="R307" s="90" t="str">
        <f t="shared" ca="1" si="60"/>
        <v/>
      </c>
      <c r="S307" s="91" t="str">
        <f t="shared" ca="1" si="61"/>
        <v/>
      </c>
      <c r="T307" s="90" t="e">
        <f t="shared" si="56"/>
        <v>#DIV/0!</v>
      </c>
      <c r="U307" s="90" t="str">
        <f t="shared" ca="1" si="62"/>
        <v/>
      </c>
      <c r="V307" s="91" t="str">
        <f t="shared" ca="1" si="63"/>
        <v/>
      </c>
      <c r="W307" s="90" t="e">
        <f t="shared" si="57"/>
        <v>#DIV/0!</v>
      </c>
      <c r="X307" s="90" t="str">
        <f t="shared" ca="1" si="64"/>
        <v/>
      </c>
      <c r="Y307" s="91" t="str">
        <f t="shared" ca="1" si="65"/>
        <v/>
      </c>
    </row>
    <row r="308" spans="14:25" ht="14.5" x14ac:dyDescent="0.35">
      <c r="N308" s="90" t="e">
        <f t="shared" si="54"/>
        <v>#DIV/0!</v>
      </c>
      <c r="O308" s="90" t="str">
        <f t="shared" ca="1" si="58"/>
        <v/>
      </c>
      <c r="P308" s="91" t="str">
        <f t="shared" ca="1" si="59"/>
        <v/>
      </c>
      <c r="Q308" s="90" t="e">
        <f t="shared" si="55"/>
        <v>#DIV/0!</v>
      </c>
      <c r="R308" s="90" t="str">
        <f t="shared" ca="1" si="60"/>
        <v/>
      </c>
      <c r="S308" s="91" t="str">
        <f t="shared" ca="1" si="61"/>
        <v/>
      </c>
      <c r="T308" s="90" t="e">
        <f t="shared" si="56"/>
        <v>#DIV/0!</v>
      </c>
      <c r="U308" s="90" t="str">
        <f t="shared" ca="1" si="62"/>
        <v/>
      </c>
      <c r="V308" s="91" t="str">
        <f t="shared" ca="1" si="63"/>
        <v/>
      </c>
      <c r="W308" s="90" t="e">
        <f t="shared" si="57"/>
        <v>#DIV/0!</v>
      </c>
      <c r="X308" s="90" t="str">
        <f t="shared" ca="1" si="64"/>
        <v/>
      </c>
      <c r="Y308" s="91" t="str">
        <f t="shared" ca="1" si="65"/>
        <v/>
      </c>
    </row>
    <row r="309" spans="14:25" ht="14.5" x14ac:dyDescent="0.35">
      <c r="N309" s="90" t="e">
        <f t="shared" si="54"/>
        <v>#DIV/0!</v>
      </c>
      <c r="O309" s="90" t="str">
        <f t="shared" ca="1" si="58"/>
        <v/>
      </c>
      <c r="P309" s="91" t="str">
        <f t="shared" ca="1" si="59"/>
        <v/>
      </c>
      <c r="Q309" s="90" t="e">
        <f t="shared" si="55"/>
        <v>#DIV/0!</v>
      </c>
      <c r="R309" s="90" t="str">
        <f t="shared" ca="1" si="60"/>
        <v/>
      </c>
      <c r="S309" s="91" t="str">
        <f t="shared" ca="1" si="61"/>
        <v/>
      </c>
      <c r="T309" s="90" t="e">
        <f t="shared" si="56"/>
        <v>#DIV/0!</v>
      </c>
      <c r="U309" s="90" t="str">
        <f t="shared" ca="1" si="62"/>
        <v/>
      </c>
      <c r="V309" s="91" t="str">
        <f t="shared" ca="1" si="63"/>
        <v/>
      </c>
      <c r="W309" s="90" t="e">
        <f t="shared" si="57"/>
        <v>#DIV/0!</v>
      </c>
      <c r="X309" s="90" t="str">
        <f t="shared" ca="1" si="64"/>
        <v/>
      </c>
      <c r="Y309" s="91" t="str">
        <f t="shared" ca="1" si="65"/>
        <v/>
      </c>
    </row>
    <row r="310" spans="14:25" ht="14.5" x14ac:dyDescent="0.35">
      <c r="N310" s="90" t="e">
        <f t="shared" si="54"/>
        <v>#DIV/0!</v>
      </c>
      <c r="O310" s="90" t="str">
        <f t="shared" ca="1" si="58"/>
        <v/>
      </c>
      <c r="P310" s="91" t="str">
        <f t="shared" ca="1" si="59"/>
        <v/>
      </c>
      <c r="Q310" s="90" t="e">
        <f t="shared" si="55"/>
        <v>#DIV/0!</v>
      </c>
      <c r="R310" s="90" t="str">
        <f t="shared" ca="1" si="60"/>
        <v/>
      </c>
      <c r="S310" s="91" t="str">
        <f t="shared" ca="1" si="61"/>
        <v/>
      </c>
      <c r="T310" s="90" t="e">
        <f t="shared" si="56"/>
        <v>#DIV/0!</v>
      </c>
      <c r="U310" s="90" t="str">
        <f t="shared" ca="1" si="62"/>
        <v/>
      </c>
      <c r="V310" s="91" t="str">
        <f t="shared" ca="1" si="63"/>
        <v/>
      </c>
      <c r="W310" s="90" t="e">
        <f t="shared" si="57"/>
        <v>#DIV/0!</v>
      </c>
      <c r="X310" s="90" t="str">
        <f t="shared" ca="1" si="64"/>
        <v/>
      </c>
      <c r="Y310" s="91" t="str">
        <f t="shared" ca="1" si="65"/>
        <v/>
      </c>
    </row>
    <row r="311" spans="14:25" ht="14.5" x14ac:dyDescent="0.35">
      <c r="N311" s="90" t="e">
        <f t="shared" si="54"/>
        <v>#DIV/0!</v>
      </c>
      <c r="O311" s="90" t="str">
        <f t="shared" ca="1" si="58"/>
        <v/>
      </c>
      <c r="P311" s="91" t="str">
        <f t="shared" ca="1" si="59"/>
        <v/>
      </c>
      <c r="Q311" s="90" t="e">
        <f t="shared" si="55"/>
        <v>#DIV/0!</v>
      </c>
      <c r="R311" s="90" t="str">
        <f t="shared" ca="1" si="60"/>
        <v/>
      </c>
      <c r="S311" s="91" t="str">
        <f t="shared" ca="1" si="61"/>
        <v/>
      </c>
      <c r="T311" s="90" t="e">
        <f t="shared" si="56"/>
        <v>#DIV/0!</v>
      </c>
      <c r="U311" s="90" t="str">
        <f t="shared" ca="1" si="62"/>
        <v/>
      </c>
      <c r="V311" s="91" t="str">
        <f t="shared" ca="1" si="63"/>
        <v/>
      </c>
      <c r="W311" s="90" t="e">
        <f t="shared" si="57"/>
        <v>#DIV/0!</v>
      </c>
      <c r="X311" s="90" t="str">
        <f t="shared" ca="1" si="64"/>
        <v/>
      </c>
      <c r="Y311" s="91" t="str">
        <f t="shared" ca="1" si="65"/>
        <v/>
      </c>
    </row>
    <row r="312" spans="14:25" ht="14.5" x14ac:dyDescent="0.35">
      <c r="N312" s="90" t="e">
        <f t="shared" si="54"/>
        <v>#DIV/0!</v>
      </c>
      <c r="O312" s="90" t="str">
        <f t="shared" ca="1" si="58"/>
        <v/>
      </c>
      <c r="P312" s="91" t="str">
        <f t="shared" ca="1" si="59"/>
        <v/>
      </c>
      <c r="Q312" s="90" t="e">
        <f t="shared" si="55"/>
        <v>#DIV/0!</v>
      </c>
      <c r="R312" s="90" t="str">
        <f t="shared" ca="1" si="60"/>
        <v/>
      </c>
      <c r="S312" s="91" t="str">
        <f t="shared" ca="1" si="61"/>
        <v/>
      </c>
      <c r="T312" s="90" t="e">
        <f t="shared" si="56"/>
        <v>#DIV/0!</v>
      </c>
      <c r="U312" s="90" t="str">
        <f t="shared" ca="1" si="62"/>
        <v/>
      </c>
      <c r="V312" s="91" t="str">
        <f t="shared" ca="1" si="63"/>
        <v/>
      </c>
      <c r="W312" s="90" t="e">
        <f t="shared" si="57"/>
        <v>#DIV/0!</v>
      </c>
      <c r="X312" s="90" t="str">
        <f t="shared" ca="1" si="64"/>
        <v/>
      </c>
      <c r="Y312" s="91" t="str">
        <f t="shared" ca="1" si="65"/>
        <v/>
      </c>
    </row>
    <row r="313" spans="14:25" ht="14.5" x14ac:dyDescent="0.35">
      <c r="N313" s="90" t="e">
        <f t="shared" si="54"/>
        <v>#DIV/0!</v>
      </c>
      <c r="O313" s="90" t="str">
        <f t="shared" ca="1" si="58"/>
        <v/>
      </c>
      <c r="P313" s="91" t="str">
        <f t="shared" ca="1" si="59"/>
        <v/>
      </c>
      <c r="Q313" s="90" t="e">
        <f t="shared" si="55"/>
        <v>#DIV/0!</v>
      </c>
      <c r="R313" s="90" t="str">
        <f t="shared" ca="1" si="60"/>
        <v/>
      </c>
      <c r="S313" s="91" t="str">
        <f t="shared" ca="1" si="61"/>
        <v/>
      </c>
      <c r="T313" s="90" t="e">
        <f t="shared" si="56"/>
        <v>#DIV/0!</v>
      </c>
      <c r="U313" s="90" t="str">
        <f t="shared" ca="1" si="62"/>
        <v/>
      </c>
      <c r="V313" s="91" t="str">
        <f t="shared" ca="1" si="63"/>
        <v/>
      </c>
      <c r="W313" s="90" t="e">
        <f t="shared" si="57"/>
        <v>#DIV/0!</v>
      </c>
      <c r="X313" s="90" t="str">
        <f t="shared" ca="1" si="64"/>
        <v/>
      </c>
      <c r="Y313" s="91" t="str">
        <f t="shared" ca="1" si="65"/>
        <v/>
      </c>
    </row>
    <row r="314" spans="14:25" ht="14.5" x14ac:dyDescent="0.35">
      <c r="N314" s="90" t="e">
        <f t="shared" si="54"/>
        <v>#DIV/0!</v>
      </c>
      <c r="O314" s="90" t="str">
        <f t="shared" ca="1" si="58"/>
        <v/>
      </c>
      <c r="P314" s="91" t="str">
        <f t="shared" ca="1" si="59"/>
        <v/>
      </c>
      <c r="Q314" s="90" t="e">
        <f t="shared" si="55"/>
        <v>#DIV/0!</v>
      </c>
      <c r="R314" s="90" t="str">
        <f t="shared" ca="1" si="60"/>
        <v/>
      </c>
      <c r="S314" s="91" t="str">
        <f t="shared" ca="1" si="61"/>
        <v/>
      </c>
      <c r="T314" s="90" t="e">
        <f t="shared" si="56"/>
        <v>#DIV/0!</v>
      </c>
      <c r="U314" s="90" t="str">
        <f t="shared" ca="1" si="62"/>
        <v/>
      </c>
      <c r="V314" s="91" t="str">
        <f t="shared" ca="1" si="63"/>
        <v/>
      </c>
      <c r="W314" s="90" t="e">
        <f t="shared" si="57"/>
        <v>#DIV/0!</v>
      </c>
      <c r="X314" s="90" t="str">
        <f t="shared" ca="1" si="64"/>
        <v/>
      </c>
      <c r="Y314" s="91" t="str">
        <f t="shared" ca="1" si="65"/>
        <v/>
      </c>
    </row>
    <row r="315" spans="14:25" ht="14.5" x14ac:dyDescent="0.35">
      <c r="N315" s="90" t="e">
        <f t="shared" si="54"/>
        <v>#DIV/0!</v>
      </c>
      <c r="O315" s="90" t="str">
        <f t="shared" ca="1" si="58"/>
        <v/>
      </c>
      <c r="P315" s="91" t="str">
        <f t="shared" ca="1" si="59"/>
        <v/>
      </c>
      <c r="Q315" s="90" t="e">
        <f t="shared" si="55"/>
        <v>#DIV/0!</v>
      </c>
      <c r="R315" s="90" t="str">
        <f t="shared" ca="1" si="60"/>
        <v/>
      </c>
      <c r="S315" s="91" t="str">
        <f t="shared" ca="1" si="61"/>
        <v/>
      </c>
      <c r="T315" s="90" t="e">
        <f t="shared" si="56"/>
        <v>#DIV/0!</v>
      </c>
      <c r="U315" s="90" t="str">
        <f t="shared" ca="1" si="62"/>
        <v/>
      </c>
      <c r="V315" s="91" t="str">
        <f t="shared" ca="1" si="63"/>
        <v/>
      </c>
      <c r="W315" s="90" t="e">
        <f t="shared" si="57"/>
        <v>#DIV/0!</v>
      </c>
      <c r="X315" s="90" t="str">
        <f t="shared" ca="1" si="64"/>
        <v/>
      </c>
      <c r="Y315" s="91" t="str">
        <f t="shared" ca="1" si="65"/>
        <v/>
      </c>
    </row>
    <row r="316" spans="14:25" ht="14.5" x14ac:dyDescent="0.35">
      <c r="N316" s="90" t="e">
        <f t="shared" si="54"/>
        <v>#DIV/0!</v>
      </c>
      <c r="O316" s="90" t="str">
        <f t="shared" ca="1" si="58"/>
        <v/>
      </c>
      <c r="P316" s="91" t="str">
        <f t="shared" ca="1" si="59"/>
        <v/>
      </c>
      <c r="Q316" s="90" t="e">
        <f t="shared" si="55"/>
        <v>#DIV/0!</v>
      </c>
      <c r="R316" s="90" t="str">
        <f t="shared" ca="1" si="60"/>
        <v/>
      </c>
      <c r="S316" s="91" t="str">
        <f t="shared" ca="1" si="61"/>
        <v/>
      </c>
      <c r="T316" s="90" t="e">
        <f t="shared" si="56"/>
        <v>#DIV/0!</v>
      </c>
      <c r="U316" s="90" t="str">
        <f t="shared" ca="1" si="62"/>
        <v/>
      </c>
      <c r="V316" s="91" t="str">
        <f t="shared" ca="1" si="63"/>
        <v/>
      </c>
      <c r="W316" s="90" t="e">
        <f t="shared" si="57"/>
        <v>#DIV/0!</v>
      </c>
      <c r="X316" s="90" t="str">
        <f t="shared" ca="1" si="64"/>
        <v/>
      </c>
      <c r="Y316" s="91" t="str">
        <f t="shared" ca="1" si="65"/>
        <v/>
      </c>
    </row>
    <row r="317" spans="14:25" ht="14.5" x14ac:dyDescent="0.35">
      <c r="N317" s="90" t="e">
        <f t="shared" si="54"/>
        <v>#DIV/0!</v>
      </c>
      <c r="O317" s="90" t="str">
        <f t="shared" ca="1" si="58"/>
        <v/>
      </c>
      <c r="P317" s="91" t="str">
        <f t="shared" ca="1" si="59"/>
        <v/>
      </c>
      <c r="Q317" s="90" t="e">
        <f t="shared" si="55"/>
        <v>#DIV/0!</v>
      </c>
      <c r="R317" s="90" t="str">
        <f t="shared" ca="1" si="60"/>
        <v/>
      </c>
      <c r="S317" s="91" t="str">
        <f t="shared" ca="1" si="61"/>
        <v/>
      </c>
      <c r="T317" s="90" t="e">
        <f t="shared" si="56"/>
        <v>#DIV/0!</v>
      </c>
      <c r="U317" s="90" t="str">
        <f t="shared" ca="1" si="62"/>
        <v/>
      </c>
      <c r="V317" s="91" t="str">
        <f t="shared" ca="1" si="63"/>
        <v/>
      </c>
      <c r="W317" s="90" t="e">
        <f t="shared" si="57"/>
        <v>#DIV/0!</v>
      </c>
      <c r="X317" s="90" t="str">
        <f t="shared" ca="1" si="64"/>
        <v/>
      </c>
      <c r="Y317" s="91" t="str">
        <f t="shared" ca="1" si="65"/>
        <v/>
      </c>
    </row>
    <row r="318" spans="14:25" ht="14.5" x14ac:dyDescent="0.35">
      <c r="N318" s="90" t="e">
        <f>IF(AND(W317&lt;$B$24,W317&lt;$R$14),W317+1,"")</f>
        <v>#DIV/0!</v>
      </c>
      <c r="O318" s="90" t="str">
        <f t="shared" ca="1" si="58"/>
        <v/>
      </c>
      <c r="P318" s="91" t="str">
        <f t="shared" ca="1" si="59"/>
        <v/>
      </c>
      <c r="Q318" s="90" t="e">
        <f>IF(AND(N367&lt;$B$24,N367&lt;$R$14),N367+1,"")</f>
        <v>#DIV/0!</v>
      </c>
      <c r="R318" s="90" t="str">
        <f t="shared" ca="1" si="60"/>
        <v/>
      </c>
      <c r="S318" s="91" t="str">
        <f t="shared" ca="1" si="61"/>
        <v/>
      </c>
      <c r="T318" s="90" t="e">
        <f>IF(AND(Q367&lt;$B$24,Q367&lt;$R$14),Q367+1,"")</f>
        <v>#DIV/0!</v>
      </c>
      <c r="U318" s="90" t="str">
        <f t="shared" ca="1" si="62"/>
        <v/>
      </c>
      <c r="V318" s="91" t="str">
        <f t="shared" ca="1" si="63"/>
        <v/>
      </c>
      <c r="W318" s="90" t="e">
        <f>IF(AND(T367&lt;$B$24,T367&lt;$R$14),T367+1,"")</f>
        <v>#DIV/0!</v>
      </c>
      <c r="X318" s="90" t="str">
        <f t="shared" ca="1" si="64"/>
        <v/>
      </c>
      <c r="Y318" s="91" t="str">
        <f t="shared" ca="1" si="65"/>
        <v/>
      </c>
    </row>
    <row r="319" spans="14:25" ht="14.5" x14ac:dyDescent="0.35">
      <c r="N319" s="90" t="e">
        <f t="shared" ref="N319:N367" si="66">IF(AND(N318&lt;$B$24,N318&lt;$R$14),N318+1,"")</f>
        <v>#DIV/0!</v>
      </c>
      <c r="O319" s="90" t="str">
        <f t="shared" ca="1" si="58"/>
        <v/>
      </c>
      <c r="P319" s="91" t="str">
        <f t="shared" ca="1" si="59"/>
        <v/>
      </c>
      <c r="Q319" s="90" t="e">
        <f t="shared" ref="Q319:Q367" si="67">IF(AND(Q318&lt;$B$24,Q318&lt;$R$14),Q318+1,"")</f>
        <v>#DIV/0!</v>
      </c>
      <c r="R319" s="90" t="str">
        <f t="shared" ca="1" si="60"/>
        <v/>
      </c>
      <c r="S319" s="91" t="str">
        <f t="shared" ca="1" si="61"/>
        <v/>
      </c>
      <c r="T319" s="90" t="e">
        <f t="shared" ref="T319:T367" si="68">IF(AND(T318&lt;$B$24,T318&lt;$R$14),T318+1,"")</f>
        <v>#DIV/0!</v>
      </c>
      <c r="U319" s="90" t="str">
        <f t="shared" ca="1" si="62"/>
        <v/>
      </c>
      <c r="V319" s="91" t="str">
        <f t="shared" ca="1" si="63"/>
        <v/>
      </c>
      <c r="W319" s="90" t="e">
        <f t="shared" ref="W319:W367" si="69">IF(AND(W318&lt;$B$24,W318&lt;$R$14),W318+1,"")</f>
        <v>#DIV/0!</v>
      </c>
      <c r="X319" s="90" t="str">
        <f t="shared" ca="1" si="64"/>
        <v/>
      </c>
      <c r="Y319" s="91" t="str">
        <f t="shared" ca="1" si="65"/>
        <v/>
      </c>
    </row>
    <row r="320" spans="14:25" ht="14.5" x14ac:dyDescent="0.35">
      <c r="N320" s="90" t="e">
        <f t="shared" si="66"/>
        <v>#DIV/0!</v>
      </c>
      <c r="O320" s="90" t="str">
        <f t="shared" ca="1" si="58"/>
        <v/>
      </c>
      <c r="P320" s="91" t="str">
        <f t="shared" ca="1" si="59"/>
        <v/>
      </c>
      <c r="Q320" s="90" t="e">
        <f t="shared" si="67"/>
        <v>#DIV/0!</v>
      </c>
      <c r="R320" s="90" t="str">
        <f t="shared" ca="1" si="60"/>
        <v/>
      </c>
      <c r="S320" s="91" t="str">
        <f t="shared" ca="1" si="61"/>
        <v/>
      </c>
      <c r="T320" s="90" t="e">
        <f t="shared" si="68"/>
        <v>#DIV/0!</v>
      </c>
      <c r="U320" s="90" t="str">
        <f t="shared" ca="1" si="62"/>
        <v/>
      </c>
      <c r="V320" s="91" t="str">
        <f t="shared" ca="1" si="63"/>
        <v/>
      </c>
      <c r="W320" s="90" t="e">
        <f t="shared" si="69"/>
        <v>#DIV/0!</v>
      </c>
      <c r="X320" s="90" t="str">
        <f t="shared" ca="1" si="64"/>
        <v/>
      </c>
      <c r="Y320" s="91" t="str">
        <f t="shared" ca="1" si="65"/>
        <v/>
      </c>
    </row>
    <row r="321" spans="14:25" ht="14.5" x14ac:dyDescent="0.35">
      <c r="N321" s="90" t="e">
        <f t="shared" si="66"/>
        <v>#DIV/0!</v>
      </c>
      <c r="O321" s="90" t="str">
        <f t="shared" ca="1" si="58"/>
        <v/>
      </c>
      <c r="P321" s="91" t="str">
        <f t="shared" ca="1" si="59"/>
        <v/>
      </c>
      <c r="Q321" s="90" t="e">
        <f t="shared" si="67"/>
        <v>#DIV/0!</v>
      </c>
      <c r="R321" s="90" t="str">
        <f t="shared" ca="1" si="60"/>
        <v/>
      </c>
      <c r="S321" s="91" t="str">
        <f t="shared" ca="1" si="61"/>
        <v/>
      </c>
      <c r="T321" s="90" t="e">
        <f t="shared" si="68"/>
        <v>#DIV/0!</v>
      </c>
      <c r="U321" s="90" t="str">
        <f t="shared" ca="1" si="62"/>
        <v/>
      </c>
      <c r="V321" s="91" t="str">
        <f t="shared" ca="1" si="63"/>
        <v/>
      </c>
      <c r="W321" s="90" t="e">
        <f t="shared" si="69"/>
        <v>#DIV/0!</v>
      </c>
      <c r="X321" s="90" t="str">
        <f t="shared" ca="1" si="64"/>
        <v/>
      </c>
      <c r="Y321" s="91" t="str">
        <f t="shared" ca="1" si="65"/>
        <v/>
      </c>
    </row>
    <row r="322" spans="14:25" ht="14.5" x14ac:dyDescent="0.35">
      <c r="N322" s="90" t="e">
        <f t="shared" si="66"/>
        <v>#DIV/0!</v>
      </c>
      <c r="O322" s="90" t="str">
        <f t="shared" ca="1" si="58"/>
        <v/>
      </c>
      <c r="P322" s="91" t="str">
        <f t="shared" ca="1" si="59"/>
        <v/>
      </c>
      <c r="Q322" s="90" t="e">
        <f t="shared" si="67"/>
        <v>#DIV/0!</v>
      </c>
      <c r="R322" s="90" t="str">
        <f t="shared" ca="1" si="60"/>
        <v/>
      </c>
      <c r="S322" s="91" t="str">
        <f t="shared" ca="1" si="61"/>
        <v/>
      </c>
      <c r="T322" s="90" t="e">
        <f t="shared" si="68"/>
        <v>#DIV/0!</v>
      </c>
      <c r="U322" s="90" t="str">
        <f t="shared" ca="1" si="62"/>
        <v/>
      </c>
      <c r="V322" s="91" t="str">
        <f t="shared" ca="1" si="63"/>
        <v/>
      </c>
      <c r="W322" s="90" t="e">
        <f t="shared" si="69"/>
        <v>#DIV/0!</v>
      </c>
      <c r="X322" s="90" t="str">
        <f t="shared" ca="1" si="64"/>
        <v/>
      </c>
      <c r="Y322" s="91" t="str">
        <f t="shared" ca="1" si="65"/>
        <v/>
      </c>
    </row>
    <row r="323" spans="14:25" ht="14.5" x14ac:dyDescent="0.35">
      <c r="N323" s="90" t="e">
        <f t="shared" si="66"/>
        <v>#DIV/0!</v>
      </c>
      <c r="O323" s="90" t="str">
        <f t="shared" ca="1" si="58"/>
        <v/>
      </c>
      <c r="P323" s="91" t="str">
        <f t="shared" ca="1" si="59"/>
        <v/>
      </c>
      <c r="Q323" s="90" t="e">
        <f t="shared" si="67"/>
        <v>#DIV/0!</v>
      </c>
      <c r="R323" s="90" t="str">
        <f t="shared" ca="1" si="60"/>
        <v/>
      </c>
      <c r="S323" s="91" t="str">
        <f t="shared" ca="1" si="61"/>
        <v/>
      </c>
      <c r="T323" s="90" t="e">
        <f t="shared" si="68"/>
        <v>#DIV/0!</v>
      </c>
      <c r="U323" s="90" t="str">
        <f t="shared" ca="1" si="62"/>
        <v/>
      </c>
      <c r="V323" s="91" t="str">
        <f t="shared" ca="1" si="63"/>
        <v/>
      </c>
      <c r="W323" s="90" t="e">
        <f t="shared" si="69"/>
        <v>#DIV/0!</v>
      </c>
      <c r="X323" s="90" t="str">
        <f t="shared" ca="1" si="64"/>
        <v/>
      </c>
      <c r="Y323" s="91" t="str">
        <f t="shared" ca="1" si="65"/>
        <v/>
      </c>
    </row>
    <row r="324" spans="14:25" ht="14.5" x14ac:dyDescent="0.35">
      <c r="N324" s="90" t="e">
        <f t="shared" si="66"/>
        <v>#DIV/0!</v>
      </c>
      <c r="O324" s="90" t="str">
        <f t="shared" ca="1" si="58"/>
        <v/>
      </c>
      <c r="P324" s="91" t="str">
        <f t="shared" ca="1" si="59"/>
        <v/>
      </c>
      <c r="Q324" s="90" t="e">
        <f t="shared" si="67"/>
        <v>#DIV/0!</v>
      </c>
      <c r="R324" s="90" t="str">
        <f t="shared" ca="1" si="60"/>
        <v/>
      </c>
      <c r="S324" s="91" t="str">
        <f t="shared" ca="1" si="61"/>
        <v/>
      </c>
      <c r="T324" s="90" t="e">
        <f t="shared" si="68"/>
        <v>#DIV/0!</v>
      </c>
      <c r="U324" s="90" t="str">
        <f t="shared" ca="1" si="62"/>
        <v/>
      </c>
      <c r="V324" s="91" t="str">
        <f t="shared" ca="1" si="63"/>
        <v/>
      </c>
      <c r="W324" s="90" t="e">
        <f t="shared" si="69"/>
        <v>#DIV/0!</v>
      </c>
      <c r="X324" s="90" t="str">
        <f t="shared" ca="1" si="64"/>
        <v/>
      </c>
      <c r="Y324" s="91" t="str">
        <f t="shared" ca="1" si="65"/>
        <v/>
      </c>
    </row>
    <row r="325" spans="14:25" ht="14.5" x14ac:dyDescent="0.35">
      <c r="N325" s="90" t="e">
        <f t="shared" si="66"/>
        <v>#DIV/0!</v>
      </c>
      <c r="O325" s="90" t="str">
        <f t="shared" ca="1" si="58"/>
        <v/>
      </c>
      <c r="P325" s="91" t="str">
        <f t="shared" ca="1" si="59"/>
        <v/>
      </c>
      <c r="Q325" s="90" t="e">
        <f t="shared" si="67"/>
        <v>#DIV/0!</v>
      </c>
      <c r="R325" s="90" t="str">
        <f t="shared" ca="1" si="60"/>
        <v/>
      </c>
      <c r="S325" s="91" t="str">
        <f t="shared" ca="1" si="61"/>
        <v/>
      </c>
      <c r="T325" s="90" t="e">
        <f t="shared" si="68"/>
        <v>#DIV/0!</v>
      </c>
      <c r="U325" s="90" t="str">
        <f t="shared" ca="1" si="62"/>
        <v/>
      </c>
      <c r="V325" s="91" t="str">
        <f t="shared" ca="1" si="63"/>
        <v/>
      </c>
      <c r="W325" s="90" t="e">
        <f t="shared" si="69"/>
        <v>#DIV/0!</v>
      </c>
      <c r="X325" s="90" t="str">
        <f t="shared" ca="1" si="64"/>
        <v/>
      </c>
      <c r="Y325" s="91" t="str">
        <f t="shared" ca="1" si="65"/>
        <v/>
      </c>
    </row>
    <row r="326" spans="14:25" ht="14.5" x14ac:dyDescent="0.35">
      <c r="N326" s="90" t="e">
        <f t="shared" si="66"/>
        <v>#DIV/0!</v>
      </c>
      <c r="O326" s="90" t="str">
        <f t="shared" ca="1" si="58"/>
        <v/>
      </c>
      <c r="P326" s="91" t="str">
        <f t="shared" ca="1" si="59"/>
        <v/>
      </c>
      <c r="Q326" s="90" t="e">
        <f t="shared" si="67"/>
        <v>#DIV/0!</v>
      </c>
      <c r="R326" s="90" t="str">
        <f t="shared" ca="1" si="60"/>
        <v/>
      </c>
      <c r="S326" s="91" t="str">
        <f t="shared" ca="1" si="61"/>
        <v/>
      </c>
      <c r="T326" s="90" t="e">
        <f t="shared" si="68"/>
        <v>#DIV/0!</v>
      </c>
      <c r="U326" s="90" t="str">
        <f t="shared" ca="1" si="62"/>
        <v/>
      </c>
      <c r="V326" s="91" t="str">
        <f t="shared" ca="1" si="63"/>
        <v/>
      </c>
      <c r="W326" s="90" t="e">
        <f t="shared" si="69"/>
        <v>#DIV/0!</v>
      </c>
      <c r="X326" s="90" t="str">
        <f t="shared" ca="1" si="64"/>
        <v/>
      </c>
      <c r="Y326" s="91" t="str">
        <f t="shared" ca="1" si="65"/>
        <v/>
      </c>
    </row>
    <row r="327" spans="14:25" ht="14.5" x14ac:dyDescent="0.35">
      <c r="N327" s="90" t="e">
        <f t="shared" si="66"/>
        <v>#DIV/0!</v>
      </c>
      <c r="O327" s="90" t="str">
        <f t="shared" ca="1" si="58"/>
        <v/>
      </c>
      <c r="P327" s="91" t="str">
        <f t="shared" ca="1" si="59"/>
        <v/>
      </c>
      <c r="Q327" s="90" t="e">
        <f t="shared" si="67"/>
        <v>#DIV/0!</v>
      </c>
      <c r="R327" s="90" t="str">
        <f t="shared" ca="1" si="60"/>
        <v/>
      </c>
      <c r="S327" s="91" t="str">
        <f t="shared" ca="1" si="61"/>
        <v/>
      </c>
      <c r="T327" s="90" t="e">
        <f t="shared" si="68"/>
        <v>#DIV/0!</v>
      </c>
      <c r="U327" s="90" t="str">
        <f t="shared" ca="1" si="62"/>
        <v/>
      </c>
      <c r="V327" s="91" t="str">
        <f t="shared" ca="1" si="63"/>
        <v/>
      </c>
      <c r="W327" s="90" t="e">
        <f t="shared" si="69"/>
        <v>#DIV/0!</v>
      </c>
      <c r="X327" s="90" t="str">
        <f t="shared" ca="1" si="64"/>
        <v/>
      </c>
      <c r="Y327" s="91" t="str">
        <f t="shared" ca="1" si="65"/>
        <v/>
      </c>
    </row>
    <row r="328" spans="14:25" ht="14.5" x14ac:dyDescent="0.35">
      <c r="N328" s="90" t="e">
        <f t="shared" si="66"/>
        <v>#DIV/0!</v>
      </c>
      <c r="O328" s="90" t="str">
        <f t="shared" ca="1" si="58"/>
        <v/>
      </c>
      <c r="P328" s="91" t="str">
        <f t="shared" ca="1" si="59"/>
        <v/>
      </c>
      <c r="Q328" s="90" t="e">
        <f t="shared" si="67"/>
        <v>#DIV/0!</v>
      </c>
      <c r="R328" s="90" t="str">
        <f t="shared" ca="1" si="60"/>
        <v/>
      </c>
      <c r="S328" s="91" t="str">
        <f t="shared" ca="1" si="61"/>
        <v/>
      </c>
      <c r="T328" s="90" t="e">
        <f t="shared" si="68"/>
        <v>#DIV/0!</v>
      </c>
      <c r="U328" s="90" t="str">
        <f t="shared" ca="1" si="62"/>
        <v/>
      </c>
      <c r="V328" s="91" t="str">
        <f t="shared" ca="1" si="63"/>
        <v/>
      </c>
      <c r="W328" s="90" t="e">
        <f t="shared" si="69"/>
        <v>#DIV/0!</v>
      </c>
      <c r="X328" s="90" t="str">
        <f t="shared" ca="1" si="64"/>
        <v/>
      </c>
      <c r="Y328" s="91" t="str">
        <f t="shared" ca="1" si="65"/>
        <v/>
      </c>
    </row>
    <row r="329" spans="14:25" ht="14.5" x14ac:dyDescent="0.35">
      <c r="N329" s="90" t="e">
        <f t="shared" si="66"/>
        <v>#DIV/0!</v>
      </c>
      <c r="O329" s="90" t="str">
        <f t="shared" ca="1" si="58"/>
        <v/>
      </c>
      <c r="P329" s="91" t="str">
        <f t="shared" ca="1" si="59"/>
        <v/>
      </c>
      <c r="Q329" s="90" t="e">
        <f t="shared" si="67"/>
        <v>#DIV/0!</v>
      </c>
      <c r="R329" s="90" t="str">
        <f t="shared" ca="1" si="60"/>
        <v/>
      </c>
      <c r="S329" s="91" t="str">
        <f t="shared" ca="1" si="61"/>
        <v/>
      </c>
      <c r="T329" s="90" t="e">
        <f t="shared" si="68"/>
        <v>#DIV/0!</v>
      </c>
      <c r="U329" s="90" t="str">
        <f t="shared" ca="1" si="62"/>
        <v/>
      </c>
      <c r="V329" s="91" t="str">
        <f t="shared" ca="1" si="63"/>
        <v/>
      </c>
      <c r="W329" s="90" t="e">
        <f t="shared" si="69"/>
        <v>#DIV/0!</v>
      </c>
      <c r="X329" s="90" t="str">
        <f t="shared" ca="1" si="64"/>
        <v/>
      </c>
      <c r="Y329" s="91" t="str">
        <f t="shared" ca="1" si="65"/>
        <v/>
      </c>
    </row>
    <row r="330" spans="14:25" ht="14.5" x14ac:dyDescent="0.35">
      <c r="N330" s="90" t="e">
        <f t="shared" si="66"/>
        <v>#DIV/0!</v>
      </c>
      <c r="O330" s="90" t="str">
        <f t="shared" ca="1" si="58"/>
        <v/>
      </c>
      <c r="P330" s="91" t="str">
        <f t="shared" ca="1" si="59"/>
        <v/>
      </c>
      <c r="Q330" s="90" t="e">
        <f t="shared" si="67"/>
        <v>#DIV/0!</v>
      </c>
      <c r="R330" s="90" t="str">
        <f t="shared" ca="1" si="60"/>
        <v/>
      </c>
      <c r="S330" s="91" t="str">
        <f t="shared" ca="1" si="61"/>
        <v/>
      </c>
      <c r="T330" s="90" t="e">
        <f t="shared" si="68"/>
        <v>#DIV/0!</v>
      </c>
      <c r="U330" s="90" t="str">
        <f t="shared" ca="1" si="62"/>
        <v/>
      </c>
      <c r="V330" s="91" t="str">
        <f t="shared" ca="1" si="63"/>
        <v/>
      </c>
      <c r="W330" s="90" t="e">
        <f t="shared" si="69"/>
        <v>#DIV/0!</v>
      </c>
      <c r="X330" s="90" t="str">
        <f t="shared" ca="1" si="64"/>
        <v/>
      </c>
      <c r="Y330" s="91" t="str">
        <f t="shared" ca="1" si="65"/>
        <v/>
      </c>
    </row>
    <row r="331" spans="14:25" ht="14.5" x14ac:dyDescent="0.35">
      <c r="N331" s="90" t="e">
        <f t="shared" si="66"/>
        <v>#DIV/0!</v>
      </c>
      <c r="O331" s="90" t="str">
        <f t="shared" ca="1" si="58"/>
        <v/>
      </c>
      <c r="P331" s="91" t="str">
        <f t="shared" ca="1" si="59"/>
        <v/>
      </c>
      <c r="Q331" s="90" t="e">
        <f t="shared" si="67"/>
        <v>#DIV/0!</v>
      </c>
      <c r="R331" s="90" t="str">
        <f t="shared" ca="1" si="60"/>
        <v/>
      </c>
      <c r="S331" s="91" t="str">
        <f t="shared" ca="1" si="61"/>
        <v/>
      </c>
      <c r="T331" s="90" t="e">
        <f t="shared" si="68"/>
        <v>#DIV/0!</v>
      </c>
      <c r="U331" s="90" t="str">
        <f t="shared" ca="1" si="62"/>
        <v/>
      </c>
      <c r="V331" s="91" t="str">
        <f t="shared" ca="1" si="63"/>
        <v/>
      </c>
      <c r="W331" s="90" t="e">
        <f t="shared" si="69"/>
        <v>#DIV/0!</v>
      </c>
      <c r="X331" s="90" t="str">
        <f t="shared" ca="1" si="64"/>
        <v/>
      </c>
      <c r="Y331" s="91" t="str">
        <f t="shared" ca="1" si="65"/>
        <v/>
      </c>
    </row>
    <row r="332" spans="14:25" ht="14.5" x14ac:dyDescent="0.35">
      <c r="N332" s="90" t="e">
        <f t="shared" si="66"/>
        <v>#DIV/0!</v>
      </c>
      <c r="O332" s="90" t="str">
        <f t="shared" ca="1" si="58"/>
        <v/>
      </c>
      <c r="P332" s="91" t="str">
        <f t="shared" ca="1" si="59"/>
        <v/>
      </c>
      <c r="Q332" s="90" t="e">
        <f t="shared" si="67"/>
        <v>#DIV/0!</v>
      </c>
      <c r="R332" s="90" t="str">
        <f t="shared" ca="1" si="60"/>
        <v/>
      </c>
      <c r="S332" s="91" t="str">
        <f t="shared" ca="1" si="61"/>
        <v/>
      </c>
      <c r="T332" s="90" t="e">
        <f t="shared" si="68"/>
        <v>#DIV/0!</v>
      </c>
      <c r="U332" s="90" t="str">
        <f t="shared" ca="1" si="62"/>
        <v/>
      </c>
      <c r="V332" s="91" t="str">
        <f t="shared" ca="1" si="63"/>
        <v/>
      </c>
      <c r="W332" s="90" t="e">
        <f t="shared" si="69"/>
        <v>#DIV/0!</v>
      </c>
      <c r="X332" s="90" t="str">
        <f t="shared" ca="1" si="64"/>
        <v/>
      </c>
      <c r="Y332" s="91" t="str">
        <f t="shared" ca="1" si="65"/>
        <v/>
      </c>
    </row>
    <row r="333" spans="14:25" ht="14.5" x14ac:dyDescent="0.35">
      <c r="N333" s="90" t="e">
        <f t="shared" si="66"/>
        <v>#DIV/0!</v>
      </c>
      <c r="O333" s="90" t="str">
        <f t="shared" ca="1" si="58"/>
        <v/>
      </c>
      <c r="P333" s="91" t="str">
        <f t="shared" ca="1" si="59"/>
        <v/>
      </c>
      <c r="Q333" s="90" t="e">
        <f t="shared" si="67"/>
        <v>#DIV/0!</v>
      </c>
      <c r="R333" s="90" t="str">
        <f t="shared" ca="1" si="60"/>
        <v/>
      </c>
      <c r="S333" s="91" t="str">
        <f t="shared" ca="1" si="61"/>
        <v/>
      </c>
      <c r="T333" s="90" t="e">
        <f t="shared" si="68"/>
        <v>#DIV/0!</v>
      </c>
      <c r="U333" s="90" t="str">
        <f t="shared" ca="1" si="62"/>
        <v/>
      </c>
      <c r="V333" s="91" t="str">
        <f t="shared" ca="1" si="63"/>
        <v/>
      </c>
      <c r="W333" s="90" t="e">
        <f t="shared" si="69"/>
        <v>#DIV/0!</v>
      </c>
      <c r="X333" s="90" t="str">
        <f t="shared" ca="1" si="64"/>
        <v/>
      </c>
      <c r="Y333" s="91" t="str">
        <f t="shared" ca="1" si="65"/>
        <v/>
      </c>
    </row>
    <row r="334" spans="14:25" ht="14.5" x14ac:dyDescent="0.35">
      <c r="N334" s="90" t="e">
        <f t="shared" si="66"/>
        <v>#DIV/0!</v>
      </c>
      <c r="O334" s="90" t="str">
        <f t="shared" ca="1" si="58"/>
        <v/>
      </c>
      <c r="P334" s="91" t="str">
        <f t="shared" ca="1" si="59"/>
        <v/>
      </c>
      <c r="Q334" s="90" t="e">
        <f t="shared" si="67"/>
        <v>#DIV/0!</v>
      </c>
      <c r="R334" s="90" t="str">
        <f t="shared" ca="1" si="60"/>
        <v/>
      </c>
      <c r="S334" s="91" t="str">
        <f t="shared" ca="1" si="61"/>
        <v/>
      </c>
      <c r="T334" s="90" t="e">
        <f t="shared" si="68"/>
        <v>#DIV/0!</v>
      </c>
      <c r="U334" s="90" t="str">
        <f t="shared" ca="1" si="62"/>
        <v/>
      </c>
      <c r="V334" s="91" t="str">
        <f t="shared" ca="1" si="63"/>
        <v/>
      </c>
      <c r="W334" s="90" t="e">
        <f t="shared" si="69"/>
        <v>#DIV/0!</v>
      </c>
      <c r="X334" s="90" t="str">
        <f t="shared" ca="1" si="64"/>
        <v/>
      </c>
      <c r="Y334" s="91" t="str">
        <f t="shared" ca="1" si="65"/>
        <v/>
      </c>
    </row>
    <row r="335" spans="14:25" ht="14.5" x14ac:dyDescent="0.35">
      <c r="N335" s="90" t="e">
        <f t="shared" si="66"/>
        <v>#DIV/0!</v>
      </c>
      <c r="O335" s="90" t="str">
        <f t="shared" ca="1" si="58"/>
        <v/>
      </c>
      <c r="P335" s="91" t="str">
        <f t="shared" ca="1" si="59"/>
        <v/>
      </c>
      <c r="Q335" s="90" t="e">
        <f t="shared" si="67"/>
        <v>#DIV/0!</v>
      </c>
      <c r="R335" s="90" t="str">
        <f t="shared" ca="1" si="60"/>
        <v/>
      </c>
      <c r="S335" s="91" t="str">
        <f t="shared" ca="1" si="61"/>
        <v/>
      </c>
      <c r="T335" s="90" t="e">
        <f t="shared" si="68"/>
        <v>#DIV/0!</v>
      </c>
      <c r="U335" s="90" t="str">
        <f t="shared" ca="1" si="62"/>
        <v/>
      </c>
      <c r="V335" s="91" t="str">
        <f t="shared" ca="1" si="63"/>
        <v/>
      </c>
      <c r="W335" s="90" t="e">
        <f t="shared" si="69"/>
        <v>#DIV/0!</v>
      </c>
      <c r="X335" s="90" t="str">
        <f t="shared" ca="1" si="64"/>
        <v/>
      </c>
      <c r="Y335" s="91" t="str">
        <f t="shared" ca="1" si="65"/>
        <v/>
      </c>
    </row>
    <row r="336" spans="14:25" ht="14.5" x14ac:dyDescent="0.35">
      <c r="N336" s="90" t="e">
        <f t="shared" si="66"/>
        <v>#DIV/0!</v>
      </c>
      <c r="O336" s="90" t="str">
        <f t="shared" ca="1" si="58"/>
        <v/>
      </c>
      <c r="P336" s="91" t="str">
        <f t="shared" ca="1" si="59"/>
        <v/>
      </c>
      <c r="Q336" s="90" t="e">
        <f t="shared" si="67"/>
        <v>#DIV/0!</v>
      </c>
      <c r="R336" s="90" t="str">
        <f t="shared" ca="1" si="60"/>
        <v/>
      </c>
      <c r="S336" s="91" t="str">
        <f t="shared" ca="1" si="61"/>
        <v/>
      </c>
      <c r="T336" s="90" t="e">
        <f t="shared" si="68"/>
        <v>#DIV/0!</v>
      </c>
      <c r="U336" s="90" t="str">
        <f t="shared" ca="1" si="62"/>
        <v/>
      </c>
      <c r="V336" s="91" t="str">
        <f t="shared" ca="1" si="63"/>
        <v/>
      </c>
      <c r="W336" s="90" t="e">
        <f t="shared" si="69"/>
        <v>#DIV/0!</v>
      </c>
      <c r="X336" s="90" t="str">
        <f t="shared" ca="1" si="64"/>
        <v/>
      </c>
      <c r="Y336" s="91" t="str">
        <f t="shared" ca="1" si="65"/>
        <v/>
      </c>
    </row>
    <row r="337" spans="14:25" ht="14.5" x14ac:dyDescent="0.35">
      <c r="N337" s="90" t="e">
        <f t="shared" si="66"/>
        <v>#DIV/0!</v>
      </c>
      <c r="O337" s="90" t="str">
        <f t="shared" ca="1" si="58"/>
        <v/>
      </c>
      <c r="P337" s="91" t="str">
        <f t="shared" ca="1" si="59"/>
        <v/>
      </c>
      <c r="Q337" s="90" t="e">
        <f t="shared" si="67"/>
        <v>#DIV/0!</v>
      </c>
      <c r="R337" s="90" t="str">
        <f t="shared" ca="1" si="60"/>
        <v/>
      </c>
      <c r="S337" s="91" t="str">
        <f t="shared" ca="1" si="61"/>
        <v/>
      </c>
      <c r="T337" s="90" t="e">
        <f t="shared" si="68"/>
        <v>#DIV/0!</v>
      </c>
      <c r="U337" s="90" t="str">
        <f t="shared" ca="1" si="62"/>
        <v/>
      </c>
      <c r="V337" s="91" t="str">
        <f t="shared" ca="1" si="63"/>
        <v/>
      </c>
      <c r="W337" s="90" t="e">
        <f t="shared" si="69"/>
        <v>#DIV/0!</v>
      </c>
      <c r="X337" s="90" t="str">
        <f t="shared" ca="1" si="64"/>
        <v/>
      </c>
      <c r="Y337" s="91" t="str">
        <f t="shared" ca="1" si="65"/>
        <v/>
      </c>
    </row>
    <row r="338" spans="14:25" ht="14.5" x14ac:dyDescent="0.35">
      <c r="N338" s="90" t="e">
        <f t="shared" si="66"/>
        <v>#DIV/0!</v>
      </c>
      <c r="O338" s="90" t="str">
        <f t="shared" ref="O338:O401" ca="1" si="70">IF(ISNUMBER(N338),RANDBETWEEN(1,$R$14),"")</f>
        <v/>
      </c>
      <c r="P338" s="91" t="str">
        <f t="shared" ref="P338:P401" ca="1" si="71">IF(O338="","",COUNTIF($O$18:$O$417,O338)+COUNTIF($R$18:$R$417,O338)+COUNTIF($U$18:$U$417,O338)+COUNTIF($X$18:$X$417,O338))</f>
        <v/>
      </c>
      <c r="Q338" s="90" t="e">
        <f t="shared" si="67"/>
        <v>#DIV/0!</v>
      </c>
      <c r="R338" s="90" t="str">
        <f t="shared" ref="R338:R401" ca="1" si="72">IF(ISNUMBER(Q338),RANDBETWEEN(1,$R$14),"")</f>
        <v/>
      </c>
      <c r="S338" s="91" t="str">
        <f t="shared" ref="S338:S401" ca="1" si="73">IF(R338="","",COUNTIF($O$18:$O$417,R338)+COUNTIF($R$18:$R$417,R338)+COUNTIF($U$18:$U$417,R338)+COUNTIF($X$18:$X$417,R338))</f>
        <v/>
      </c>
      <c r="T338" s="90" t="e">
        <f t="shared" si="68"/>
        <v>#DIV/0!</v>
      </c>
      <c r="U338" s="90" t="str">
        <f t="shared" ref="U338:U401" ca="1" si="74">IF(ISNUMBER(T338),RANDBETWEEN(1,$R$14),"")</f>
        <v/>
      </c>
      <c r="V338" s="91" t="str">
        <f t="shared" ref="V338:V401" ca="1" si="75">IF(U338="","",COUNTIF($O$18:$O$417,U338)+COUNTIF($R$18:$R$417,U338)+COUNTIF($U$18:$U$417,U338)+COUNTIF($X$18:$X$417,U338))</f>
        <v/>
      </c>
      <c r="W338" s="90" t="e">
        <f t="shared" si="69"/>
        <v>#DIV/0!</v>
      </c>
      <c r="X338" s="90" t="str">
        <f t="shared" ref="X338:X401" ca="1" si="76">IF(ISNUMBER(W338),RANDBETWEEN(1,$R$14),"")</f>
        <v/>
      </c>
      <c r="Y338" s="91" t="str">
        <f t="shared" ref="Y338:Y401" ca="1" si="77">IF(X338="","",COUNTIF($O$18:$O$417,X338)+COUNTIF($R$18:$R$417,X338)+COUNTIF($U$18:$U$417,X338)+COUNTIF($X$18:$X$417,X338))</f>
        <v/>
      </c>
    </row>
    <row r="339" spans="14:25" ht="14.5" x14ac:dyDescent="0.35">
      <c r="N339" s="90" t="e">
        <f t="shared" si="66"/>
        <v>#DIV/0!</v>
      </c>
      <c r="O339" s="90" t="str">
        <f t="shared" ca="1" si="70"/>
        <v/>
      </c>
      <c r="P339" s="91" t="str">
        <f t="shared" ca="1" si="71"/>
        <v/>
      </c>
      <c r="Q339" s="90" t="e">
        <f t="shared" si="67"/>
        <v>#DIV/0!</v>
      </c>
      <c r="R339" s="90" t="str">
        <f t="shared" ca="1" si="72"/>
        <v/>
      </c>
      <c r="S339" s="91" t="str">
        <f t="shared" ca="1" si="73"/>
        <v/>
      </c>
      <c r="T339" s="90" t="e">
        <f t="shared" si="68"/>
        <v>#DIV/0!</v>
      </c>
      <c r="U339" s="90" t="str">
        <f t="shared" ca="1" si="74"/>
        <v/>
      </c>
      <c r="V339" s="91" t="str">
        <f t="shared" ca="1" si="75"/>
        <v/>
      </c>
      <c r="W339" s="90" t="e">
        <f t="shared" si="69"/>
        <v>#DIV/0!</v>
      </c>
      <c r="X339" s="90" t="str">
        <f t="shared" ca="1" si="76"/>
        <v/>
      </c>
      <c r="Y339" s="91" t="str">
        <f t="shared" ca="1" si="77"/>
        <v/>
      </c>
    </row>
    <row r="340" spans="14:25" ht="14.5" x14ac:dyDescent="0.35">
      <c r="N340" s="90" t="e">
        <f t="shared" si="66"/>
        <v>#DIV/0!</v>
      </c>
      <c r="O340" s="90" t="str">
        <f t="shared" ca="1" si="70"/>
        <v/>
      </c>
      <c r="P340" s="91" t="str">
        <f t="shared" ca="1" si="71"/>
        <v/>
      </c>
      <c r="Q340" s="90" t="e">
        <f t="shared" si="67"/>
        <v>#DIV/0!</v>
      </c>
      <c r="R340" s="90" t="str">
        <f t="shared" ca="1" si="72"/>
        <v/>
      </c>
      <c r="S340" s="91" t="str">
        <f t="shared" ca="1" si="73"/>
        <v/>
      </c>
      <c r="T340" s="90" t="e">
        <f t="shared" si="68"/>
        <v>#DIV/0!</v>
      </c>
      <c r="U340" s="90" t="str">
        <f t="shared" ca="1" si="74"/>
        <v/>
      </c>
      <c r="V340" s="91" t="str">
        <f t="shared" ca="1" si="75"/>
        <v/>
      </c>
      <c r="W340" s="90" t="e">
        <f t="shared" si="69"/>
        <v>#DIV/0!</v>
      </c>
      <c r="X340" s="90" t="str">
        <f t="shared" ca="1" si="76"/>
        <v/>
      </c>
      <c r="Y340" s="91" t="str">
        <f t="shared" ca="1" si="77"/>
        <v/>
      </c>
    </row>
    <row r="341" spans="14:25" ht="14.5" x14ac:dyDescent="0.35">
      <c r="N341" s="90" t="e">
        <f t="shared" si="66"/>
        <v>#DIV/0!</v>
      </c>
      <c r="O341" s="90" t="str">
        <f t="shared" ca="1" si="70"/>
        <v/>
      </c>
      <c r="P341" s="91" t="str">
        <f t="shared" ca="1" si="71"/>
        <v/>
      </c>
      <c r="Q341" s="90" t="e">
        <f t="shared" si="67"/>
        <v>#DIV/0!</v>
      </c>
      <c r="R341" s="90" t="str">
        <f t="shared" ca="1" si="72"/>
        <v/>
      </c>
      <c r="S341" s="91" t="str">
        <f t="shared" ca="1" si="73"/>
        <v/>
      </c>
      <c r="T341" s="90" t="e">
        <f t="shared" si="68"/>
        <v>#DIV/0!</v>
      </c>
      <c r="U341" s="90" t="str">
        <f t="shared" ca="1" si="74"/>
        <v/>
      </c>
      <c r="V341" s="91" t="str">
        <f t="shared" ca="1" si="75"/>
        <v/>
      </c>
      <c r="W341" s="90" t="e">
        <f t="shared" si="69"/>
        <v>#DIV/0!</v>
      </c>
      <c r="X341" s="90" t="str">
        <f t="shared" ca="1" si="76"/>
        <v/>
      </c>
      <c r="Y341" s="91" t="str">
        <f t="shared" ca="1" si="77"/>
        <v/>
      </c>
    </row>
    <row r="342" spans="14:25" ht="14.5" x14ac:dyDescent="0.35">
      <c r="N342" s="90" t="e">
        <f t="shared" si="66"/>
        <v>#DIV/0!</v>
      </c>
      <c r="O342" s="90" t="str">
        <f t="shared" ca="1" si="70"/>
        <v/>
      </c>
      <c r="P342" s="91" t="str">
        <f t="shared" ca="1" si="71"/>
        <v/>
      </c>
      <c r="Q342" s="90" t="e">
        <f t="shared" si="67"/>
        <v>#DIV/0!</v>
      </c>
      <c r="R342" s="90" t="str">
        <f t="shared" ca="1" si="72"/>
        <v/>
      </c>
      <c r="S342" s="91" t="str">
        <f t="shared" ca="1" si="73"/>
        <v/>
      </c>
      <c r="T342" s="90" t="e">
        <f t="shared" si="68"/>
        <v>#DIV/0!</v>
      </c>
      <c r="U342" s="90" t="str">
        <f t="shared" ca="1" si="74"/>
        <v/>
      </c>
      <c r="V342" s="91" t="str">
        <f t="shared" ca="1" si="75"/>
        <v/>
      </c>
      <c r="W342" s="90" t="e">
        <f t="shared" si="69"/>
        <v>#DIV/0!</v>
      </c>
      <c r="X342" s="90" t="str">
        <f t="shared" ca="1" si="76"/>
        <v/>
      </c>
      <c r="Y342" s="91" t="str">
        <f t="shared" ca="1" si="77"/>
        <v/>
      </c>
    </row>
    <row r="343" spans="14:25" ht="14.5" x14ac:dyDescent="0.35">
      <c r="N343" s="90" t="e">
        <f t="shared" si="66"/>
        <v>#DIV/0!</v>
      </c>
      <c r="O343" s="90" t="str">
        <f t="shared" ca="1" si="70"/>
        <v/>
      </c>
      <c r="P343" s="91" t="str">
        <f t="shared" ca="1" si="71"/>
        <v/>
      </c>
      <c r="Q343" s="90" t="e">
        <f t="shared" si="67"/>
        <v>#DIV/0!</v>
      </c>
      <c r="R343" s="90" t="str">
        <f t="shared" ca="1" si="72"/>
        <v/>
      </c>
      <c r="S343" s="91" t="str">
        <f t="shared" ca="1" si="73"/>
        <v/>
      </c>
      <c r="T343" s="90" t="e">
        <f t="shared" si="68"/>
        <v>#DIV/0!</v>
      </c>
      <c r="U343" s="90" t="str">
        <f t="shared" ca="1" si="74"/>
        <v/>
      </c>
      <c r="V343" s="91" t="str">
        <f t="shared" ca="1" si="75"/>
        <v/>
      </c>
      <c r="W343" s="90" t="e">
        <f t="shared" si="69"/>
        <v>#DIV/0!</v>
      </c>
      <c r="X343" s="90" t="str">
        <f t="shared" ca="1" si="76"/>
        <v/>
      </c>
      <c r="Y343" s="91" t="str">
        <f t="shared" ca="1" si="77"/>
        <v/>
      </c>
    </row>
    <row r="344" spans="14:25" ht="14.5" x14ac:dyDescent="0.35">
      <c r="N344" s="90" t="e">
        <f t="shared" si="66"/>
        <v>#DIV/0!</v>
      </c>
      <c r="O344" s="90" t="str">
        <f t="shared" ca="1" si="70"/>
        <v/>
      </c>
      <c r="P344" s="91" t="str">
        <f t="shared" ca="1" si="71"/>
        <v/>
      </c>
      <c r="Q344" s="90" t="e">
        <f t="shared" si="67"/>
        <v>#DIV/0!</v>
      </c>
      <c r="R344" s="90" t="str">
        <f t="shared" ca="1" si="72"/>
        <v/>
      </c>
      <c r="S344" s="91" t="str">
        <f t="shared" ca="1" si="73"/>
        <v/>
      </c>
      <c r="T344" s="90" t="e">
        <f t="shared" si="68"/>
        <v>#DIV/0!</v>
      </c>
      <c r="U344" s="90" t="str">
        <f t="shared" ca="1" si="74"/>
        <v/>
      </c>
      <c r="V344" s="91" t="str">
        <f t="shared" ca="1" si="75"/>
        <v/>
      </c>
      <c r="W344" s="90" t="e">
        <f t="shared" si="69"/>
        <v>#DIV/0!</v>
      </c>
      <c r="X344" s="90" t="str">
        <f t="shared" ca="1" si="76"/>
        <v/>
      </c>
      <c r="Y344" s="91" t="str">
        <f t="shared" ca="1" si="77"/>
        <v/>
      </c>
    </row>
    <row r="345" spans="14:25" ht="14.5" x14ac:dyDescent="0.35">
      <c r="N345" s="90" t="e">
        <f t="shared" si="66"/>
        <v>#DIV/0!</v>
      </c>
      <c r="O345" s="90" t="str">
        <f t="shared" ca="1" si="70"/>
        <v/>
      </c>
      <c r="P345" s="91" t="str">
        <f t="shared" ca="1" si="71"/>
        <v/>
      </c>
      <c r="Q345" s="90" t="e">
        <f t="shared" si="67"/>
        <v>#DIV/0!</v>
      </c>
      <c r="R345" s="90" t="str">
        <f t="shared" ca="1" si="72"/>
        <v/>
      </c>
      <c r="S345" s="91" t="str">
        <f t="shared" ca="1" si="73"/>
        <v/>
      </c>
      <c r="T345" s="90" t="e">
        <f t="shared" si="68"/>
        <v>#DIV/0!</v>
      </c>
      <c r="U345" s="90" t="str">
        <f t="shared" ca="1" si="74"/>
        <v/>
      </c>
      <c r="V345" s="91" t="str">
        <f t="shared" ca="1" si="75"/>
        <v/>
      </c>
      <c r="W345" s="90" t="e">
        <f t="shared" si="69"/>
        <v>#DIV/0!</v>
      </c>
      <c r="X345" s="90" t="str">
        <f t="shared" ca="1" si="76"/>
        <v/>
      </c>
      <c r="Y345" s="91" t="str">
        <f t="shared" ca="1" si="77"/>
        <v/>
      </c>
    </row>
    <row r="346" spans="14:25" ht="14.5" x14ac:dyDescent="0.35">
      <c r="N346" s="90" t="e">
        <f t="shared" si="66"/>
        <v>#DIV/0!</v>
      </c>
      <c r="O346" s="90" t="str">
        <f t="shared" ca="1" si="70"/>
        <v/>
      </c>
      <c r="P346" s="91" t="str">
        <f t="shared" ca="1" si="71"/>
        <v/>
      </c>
      <c r="Q346" s="90" t="e">
        <f t="shared" si="67"/>
        <v>#DIV/0!</v>
      </c>
      <c r="R346" s="90" t="str">
        <f t="shared" ca="1" si="72"/>
        <v/>
      </c>
      <c r="S346" s="91" t="str">
        <f t="shared" ca="1" si="73"/>
        <v/>
      </c>
      <c r="T346" s="90" t="e">
        <f t="shared" si="68"/>
        <v>#DIV/0!</v>
      </c>
      <c r="U346" s="90" t="str">
        <f t="shared" ca="1" si="74"/>
        <v/>
      </c>
      <c r="V346" s="91" t="str">
        <f t="shared" ca="1" si="75"/>
        <v/>
      </c>
      <c r="W346" s="90" t="e">
        <f t="shared" si="69"/>
        <v>#DIV/0!</v>
      </c>
      <c r="X346" s="90" t="str">
        <f t="shared" ca="1" si="76"/>
        <v/>
      </c>
      <c r="Y346" s="91" t="str">
        <f t="shared" ca="1" si="77"/>
        <v/>
      </c>
    </row>
    <row r="347" spans="14:25" ht="14.5" x14ac:dyDescent="0.35">
      <c r="N347" s="90" t="e">
        <f t="shared" si="66"/>
        <v>#DIV/0!</v>
      </c>
      <c r="O347" s="90" t="str">
        <f t="shared" ca="1" si="70"/>
        <v/>
      </c>
      <c r="P347" s="91" t="str">
        <f t="shared" ca="1" si="71"/>
        <v/>
      </c>
      <c r="Q347" s="90" t="e">
        <f t="shared" si="67"/>
        <v>#DIV/0!</v>
      </c>
      <c r="R347" s="90" t="str">
        <f t="shared" ca="1" si="72"/>
        <v/>
      </c>
      <c r="S347" s="91" t="str">
        <f t="shared" ca="1" si="73"/>
        <v/>
      </c>
      <c r="T347" s="90" t="e">
        <f t="shared" si="68"/>
        <v>#DIV/0!</v>
      </c>
      <c r="U347" s="90" t="str">
        <f t="shared" ca="1" si="74"/>
        <v/>
      </c>
      <c r="V347" s="91" t="str">
        <f t="shared" ca="1" si="75"/>
        <v/>
      </c>
      <c r="W347" s="90" t="e">
        <f t="shared" si="69"/>
        <v>#DIV/0!</v>
      </c>
      <c r="X347" s="90" t="str">
        <f t="shared" ca="1" si="76"/>
        <v/>
      </c>
      <c r="Y347" s="91" t="str">
        <f t="shared" ca="1" si="77"/>
        <v/>
      </c>
    </row>
    <row r="348" spans="14:25" ht="14.5" x14ac:dyDescent="0.35">
      <c r="N348" s="90" t="e">
        <f t="shared" si="66"/>
        <v>#DIV/0!</v>
      </c>
      <c r="O348" s="90" t="str">
        <f t="shared" ca="1" si="70"/>
        <v/>
      </c>
      <c r="P348" s="91" t="str">
        <f t="shared" ca="1" si="71"/>
        <v/>
      </c>
      <c r="Q348" s="90" t="e">
        <f t="shared" si="67"/>
        <v>#DIV/0!</v>
      </c>
      <c r="R348" s="90" t="str">
        <f t="shared" ca="1" si="72"/>
        <v/>
      </c>
      <c r="S348" s="91" t="str">
        <f t="shared" ca="1" si="73"/>
        <v/>
      </c>
      <c r="T348" s="90" t="e">
        <f t="shared" si="68"/>
        <v>#DIV/0!</v>
      </c>
      <c r="U348" s="90" t="str">
        <f t="shared" ca="1" si="74"/>
        <v/>
      </c>
      <c r="V348" s="91" t="str">
        <f t="shared" ca="1" si="75"/>
        <v/>
      </c>
      <c r="W348" s="90" t="e">
        <f t="shared" si="69"/>
        <v>#DIV/0!</v>
      </c>
      <c r="X348" s="90" t="str">
        <f t="shared" ca="1" si="76"/>
        <v/>
      </c>
      <c r="Y348" s="91" t="str">
        <f t="shared" ca="1" si="77"/>
        <v/>
      </c>
    </row>
    <row r="349" spans="14:25" ht="14.5" x14ac:dyDescent="0.35">
      <c r="N349" s="90" t="e">
        <f t="shared" si="66"/>
        <v>#DIV/0!</v>
      </c>
      <c r="O349" s="90" t="str">
        <f t="shared" ca="1" si="70"/>
        <v/>
      </c>
      <c r="P349" s="91" t="str">
        <f t="shared" ca="1" si="71"/>
        <v/>
      </c>
      <c r="Q349" s="90" t="e">
        <f t="shared" si="67"/>
        <v>#DIV/0!</v>
      </c>
      <c r="R349" s="90" t="str">
        <f t="shared" ca="1" si="72"/>
        <v/>
      </c>
      <c r="S349" s="91" t="str">
        <f t="shared" ca="1" si="73"/>
        <v/>
      </c>
      <c r="T349" s="90" t="e">
        <f t="shared" si="68"/>
        <v>#DIV/0!</v>
      </c>
      <c r="U349" s="90" t="str">
        <f t="shared" ca="1" si="74"/>
        <v/>
      </c>
      <c r="V349" s="91" t="str">
        <f t="shared" ca="1" si="75"/>
        <v/>
      </c>
      <c r="W349" s="90" t="e">
        <f t="shared" si="69"/>
        <v>#DIV/0!</v>
      </c>
      <c r="X349" s="90" t="str">
        <f t="shared" ca="1" si="76"/>
        <v/>
      </c>
      <c r="Y349" s="91" t="str">
        <f t="shared" ca="1" si="77"/>
        <v/>
      </c>
    </row>
    <row r="350" spans="14:25" ht="14.5" x14ac:dyDescent="0.35">
      <c r="N350" s="90" t="e">
        <f t="shared" si="66"/>
        <v>#DIV/0!</v>
      </c>
      <c r="O350" s="90" t="str">
        <f t="shared" ca="1" si="70"/>
        <v/>
      </c>
      <c r="P350" s="91" t="str">
        <f t="shared" ca="1" si="71"/>
        <v/>
      </c>
      <c r="Q350" s="90" t="e">
        <f t="shared" si="67"/>
        <v>#DIV/0!</v>
      </c>
      <c r="R350" s="90" t="str">
        <f t="shared" ca="1" si="72"/>
        <v/>
      </c>
      <c r="S350" s="91" t="str">
        <f t="shared" ca="1" si="73"/>
        <v/>
      </c>
      <c r="T350" s="90" t="e">
        <f t="shared" si="68"/>
        <v>#DIV/0!</v>
      </c>
      <c r="U350" s="90" t="str">
        <f t="shared" ca="1" si="74"/>
        <v/>
      </c>
      <c r="V350" s="91" t="str">
        <f t="shared" ca="1" si="75"/>
        <v/>
      </c>
      <c r="W350" s="90" t="e">
        <f t="shared" si="69"/>
        <v>#DIV/0!</v>
      </c>
      <c r="X350" s="90" t="str">
        <f t="shared" ca="1" si="76"/>
        <v/>
      </c>
      <c r="Y350" s="91" t="str">
        <f t="shared" ca="1" si="77"/>
        <v/>
      </c>
    </row>
    <row r="351" spans="14:25" ht="14.5" x14ac:dyDescent="0.35">
      <c r="N351" s="90" t="e">
        <f t="shared" si="66"/>
        <v>#DIV/0!</v>
      </c>
      <c r="O351" s="90" t="str">
        <f t="shared" ca="1" si="70"/>
        <v/>
      </c>
      <c r="P351" s="91" t="str">
        <f t="shared" ca="1" si="71"/>
        <v/>
      </c>
      <c r="Q351" s="90" t="e">
        <f t="shared" si="67"/>
        <v>#DIV/0!</v>
      </c>
      <c r="R351" s="90" t="str">
        <f t="shared" ca="1" si="72"/>
        <v/>
      </c>
      <c r="S351" s="91" t="str">
        <f t="shared" ca="1" si="73"/>
        <v/>
      </c>
      <c r="T351" s="90" t="e">
        <f t="shared" si="68"/>
        <v>#DIV/0!</v>
      </c>
      <c r="U351" s="90" t="str">
        <f t="shared" ca="1" si="74"/>
        <v/>
      </c>
      <c r="V351" s="91" t="str">
        <f t="shared" ca="1" si="75"/>
        <v/>
      </c>
      <c r="W351" s="90" t="e">
        <f t="shared" si="69"/>
        <v>#DIV/0!</v>
      </c>
      <c r="X351" s="90" t="str">
        <f t="shared" ca="1" si="76"/>
        <v/>
      </c>
      <c r="Y351" s="91" t="str">
        <f t="shared" ca="1" si="77"/>
        <v/>
      </c>
    </row>
    <row r="352" spans="14:25" ht="14.5" x14ac:dyDescent="0.35">
      <c r="N352" s="90" t="e">
        <f t="shared" si="66"/>
        <v>#DIV/0!</v>
      </c>
      <c r="O352" s="90" t="str">
        <f t="shared" ca="1" si="70"/>
        <v/>
      </c>
      <c r="P352" s="91" t="str">
        <f t="shared" ca="1" si="71"/>
        <v/>
      </c>
      <c r="Q352" s="90" t="e">
        <f t="shared" si="67"/>
        <v>#DIV/0!</v>
      </c>
      <c r="R352" s="90" t="str">
        <f t="shared" ca="1" si="72"/>
        <v/>
      </c>
      <c r="S352" s="91" t="str">
        <f t="shared" ca="1" si="73"/>
        <v/>
      </c>
      <c r="T352" s="90" t="e">
        <f t="shared" si="68"/>
        <v>#DIV/0!</v>
      </c>
      <c r="U352" s="90" t="str">
        <f t="shared" ca="1" si="74"/>
        <v/>
      </c>
      <c r="V352" s="91" t="str">
        <f t="shared" ca="1" si="75"/>
        <v/>
      </c>
      <c r="W352" s="90" t="e">
        <f t="shared" si="69"/>
        <v>#DIV/0!</v>
      </c>
      <c r="X352" s="90" t="str">
        <f t="shared" ca="1" si="76"/>
        <v/>
      </c>
      <c r="Y352" s="91" t="str">
        <f t="shared" ca="1" si="77"/>
        <v/>
      </c>
    </row>
    <row r="353" spans="14:25" ht="14.5" x14ac:dyDescent="0.35">
      <c r="N353" s="90" t="e">
        <f t="shared" si="66"/>
        <v>#DIV/0!</v>
      </c>
      <c r="O353" s="90" t="str">
        <f t="shared" ca="1" si="70"/>
        <v/>
      </c>
      <c r="P353" s="91" t="str">
        <f t="shared" ca="1" si="71"/>
        <v/>
      </c>
      <c r="Q353" s="90" t="e">
        <f t="shared" si="67"/>
        <v>#DIV/0!</v>
      </c>
      <c r="R353" s="90" t="str">
        <f t="shared" ca="1" si="72"/>
        <v/>
      </c>
      <c r="S353" s="91" t="str">
        <f t="shared" ca="1" si="73"/>
        <v/>
      </c>
      <c r="T353" s="90" t="e">
        <f t="shared" si="68"/>
        <v>#DIV/0!</v>
      </c>
      <c r="U353" s="90" t="str">
        <f t="shared" ca="1" si="74"/>
        <v/>
      </c>
      <c r="V353" s="91" t="str">
        <f t="shared" ca="1" si="75"/>
        <v/>
      </c>
      <c r="W353" s="90" t="e">
        <f t="shared" si="69"/>
        <v>#DIV/0!</v>
      </c>
      <c r="X353" s="90" t="str">
        <f t="shared" ca="1" si="76"/>
        <v/>
      </c>
      <c r="Y353" s="91" t="str">
        <f t="shared" ca="1" si="77"/>
        <v/>
      </c>
    </row>
    <row r="354" spans="14:25" ht="14.5" x14ac:dyDescent="0.35">
      <c r="N354" s="90" t="e">
        <f t="shared" si="66"/>
        <v>#DIV/0!</v>
      </c>
      <c r="O354" s="90" t="str">
        <f t="shared" ca="1" si="70"/>
        <v/>
      </c>
      <c r="P354" s="91" t="str">
        <f t="shared" ca="1" si="71"/>
        <v/>
      </c>
      <c r="Q354" s="90" t="e">
        <f t="shared" si="67"/>
        <v>#DIV/0!</v>
      </c>
      <c r="R354" s="90" t="str">
        <f t="shared" ca="1" si="72"/>
        <v/>
      </c>
      <c r="S354" s="91" t="str">
        <f t="shared" ca="1" si="73"/>
        <v/>
      </c>
      <c r="T354" s="90" t="e">
        <f t="shared" si="68"/>
        <v>#DIV/0!</v>
      </c>
      <c r="U354" s="90" t="str">
        <f t="shared" ca="1" si="74"/>
        <v/>
      </c>
      <c r="V354" s="91" t="str">
        <f t="shared" ca="1" si="75"/>
        <v/>
      </c>
      <c r="W354" s="90" t="e">
        <f t="shared" si="69"/>
        <v>#DIV/0!</v>
      </c>
      <c r="X354" s="90" t="str">
        <f t="shared" ca="1" si="76"/>
        <v/>
      </c>
      <c r="Y354" s="91" t="str">
        <f t="shared" ca="1" si="77"/>
        <v/>
      </c>
    </row>
    <row r="355" spans="14:25" ht="14.5" x14ac:dyDescent="0.35">
      <c r="N355" s="90" t="e">
        <f t="shared" si="66"/>
        <v>#DIV/0!</v>
      </c>
      <c r="O355" s="90" t="str">
        <f t="shared" ca="1" si="70"/>
        <v/>
      </c>
      <c r="P355" s="91" t="str">
        <f t="shared" ca="1" si="71"/>
        <v/>
      </c>
      <c r="Q355" s="90" t="e">
        <f t="shared" si="67"/>
        <v>#DIV/0!</v>
      </c>
      <c r="R355" s="90" t="str">
        <f t="shared" ca="1" si="72"/>
        <v/>
      </c>
      <c r="S355" s="91" t="str">
        <f t="shared" ca="1" si="73"/>
        <v/>
      </c>
      <c r="T355" s="90" t="e">
        <f t="shared" si="68"/>
        <v>#DIV/0!</v>
      </c>
      <c r="U355" s="90" t="str">
        <f t="shared" ca="1" si="74"/>
        <v/>
      </c>
      <c r="V355" s="91" t="str">
        <f t="shared" ca="1" si="75"/>
        <v/>
      </c>
      <c r="W355" s="90" t="e">
        <f t="shared" si="69"/>
        <v>#DIV/0!</v>
      </c>
      <c r="X355" s="90" t="str">
        <f t="shared" ca="1" si="76"/>
        <v/>
      </c>
      <c r="Y355" s="91" t="str">
        <f t="shared" ca="1" si="77"/>
        <v/>
      </c>
    </row>
    <row r="356" spans="14:25" ht="14.5" x14ac:dyDescent="0.35">
      <c r="N356" s="90" t="e">
        <f t="shared" si="66"/>
        <v>#DIV/0!</v>
      </c>
      <c r="O356" s="90" t="str">
        <f t="shared" ca="1" si="70"/>
        <v/>
      </c>
      <c r="P356" s="91" t="str">
        <f t="shared" ca="1" si="71"/>
        <v/>
      </c>
      <c r="Q356" s="90" t="e">
        <f t="shared" si="67"/>
        <v>#DIV/0!</v>
      </c>
      <c r="R356" s="90" t="str">
        <f t="shared" ca="1" si="72"/>
        <v/>
      </c>
      <c r="S356" s="91" t="str">
        <f t="shared" ca="1" si="73"/>
        <v/>
      </c>
      <c r="T356" s="90" t="e">
        <f t="shared" si="68"/>
        <v>#DIV/0!</v>
      </c>
      <c r="U356" s="90" t="str">
        <f t="shared" ca="1" si="74"/>
        <v/>
      </c>
      <c r="V356" s="91" t="str">
        <f t="shared" ca="1" si="75"/>
        <v/>
      </c>
      <c r="W356" s="90" t="e">
        <f t="shared" si="69"/>
        <v>#DIV/0!</v>
      </c>
      <c r="X356" s="90" t="str">
        <f t="shared" ca="1" si="76"/>
        <v/>
      </c>
      <c r="Y356" s="91" t="str">
        <f t="shared" ca="1" si="77"/>
        <v/>
      </c>
    </row>
    <row r="357" spans="14:25" ht="14.5" x14ac:dyDescent="0.35">
      <c r="N357" s="90" t="e">
        <f t="shared" si="66"/>
        <v>#DIV/0!</v>
      </c>
      <c r="O357" s="90" t="str">
        <f t="shared" ca="1" si="70"/>
        <v/>
      </c>
      <c r="P357" s="91" t="str">
        <f t="shared" ca="1" si="71"/>
        <v/>
      </c>
      <c r="Q357" s="90" t="e">
        <f t="shared" si="67"/>
        <v>#DIV/0!</v>
      </c>
      <c r="R357" s="90" t="str">
        <f t="shared" ca="1" si="72"/>
        <v/>
      </c>
      <c r="S357" s="91" t="str">
        <f t="shared" ca="1" si="73"/>
        <v/>
      </c>
      <c r="T357" s="90" t="e">
        <f t="shared" si="68"/>
        <v>#DIV/0!</v>
      </c>
      <c r="U357" s="90" t="str">
        <f t="shared" ca="1" si="74"/>
        <v/>
      </c>
      <c r="V357" s="91" t="str">
        <f t="shared" ca="1" si="75"/>
        <v/>
      </c>
      <c r="W357" s="90" t="e">
        <f t="shared" si="69"/>
        <v>#DIV/0!</v>
      </c>
      <c r="X357" s="90" t="str">
        <f t="shared" ca="1" si="76"/>
        <v/>
      </c>
      <c r="Y357" s="91" t="str">
        <f t="shared" ca="1" si="77"/>
        <v/>
      </c>
    </row>
    <row r="358" spans="14:25" ht="14.5" x14ac:dyDescent="0.35">
      <c r="N358" s="90" t="e">
        <f t="shared" si="66"/>
        <v>#DIV/0!</v>
      </c>
      <c r="O358" s="90" t="str">
        <f t="shared" ca="1" si="70"/>
        <v/>
      </c>
      <c r="P358" s="91" t="str">
        <f t="shared" ca="1" si="71"/>
        <v/>
      </c>
      <c r="Q358" s="90" t="e">
        <f t="shared" si="67"/>
        <v>#DIV/0!</v>
      </c>
      <c r="R358" s="90" t="str">
        <f t="shared" ca="1" si="72"/>
        <v/>
      </c>
      <c r="S358" s="91" t="str">
        <f t="shared" ca="1" si="73"/>
        <v/>
      </c>
      <c r="T358" s="90" t="e">
        <f t="shared" si="68"/>
        <v>#DIV/0!</v>
      </c>
      <c r="U358" s="90" t="str">
        <f t="shared" ca="1" si="74"/>
        <v/>
      </c>
      <c r="V358" s="91" t="str">
        <f t="shared" ca="1" si="75"/>
        <v/>
      </c>
      <c r="W358" s="90" t="e">
        <f t="shared" si="69"/>
        <v>#DIV/0!</v>
      </c>
      <c r="X358" s="90" t="str">
        <f t="shared" ca="1" si="76"/>
        <v/>
      </c>
      <c r="Y358" s="91" t="str">
        <f t="shared" ca="1" si="77"/>
        <v/>
      </c>
    </row>
    <row r="359" spans="14:25" ht="14.5" x14ac:dyDescent="0.35">
      <c r="N359" s="90" t="e">
        <f t="shared" si="66"/>
        <v>#DIV/0!</v>
      </c>
      <c r="O359" s="90" t="str">
        <f t="shared" ca="1" si="70"/>
        <v/>
      </c>
      <c r="P359" s="91" t="str">
        <f t="shared" ca="1" si="71"/>
        <v/>
      </c>
      <c r="Q359" s="90" t="e">
        <f t="shared" si="67"/>
        <v>#DIV/0!</v>
      </c>
      <c r="R359" s="90" t="str">
        <f t="shared" ca="1" si="72"/>
        <v/>
      </c>
      <c r="S359" s="91" t="str">
        <f t="shared" ca="1" si="73"/>
        <v/>
      </c>
      <c r="T359" s="90" t="e">
        <f t="shared" si="68"/>
        <v>#DIV/0!</v>
      </c>
      <c r="U359" s="90" t="str">
        <f t="shared" ca="1" si="74"/>
        <v/>
      </c>
      <c r="V359" s="91" t="str">
        <f t="shared" ca="1" si="75"/>
        <v/>
      </c>
      <c r="W359" s="90" t="e">
        <f t="shared" si="69"/>
        <v>#DIV/0!</v>
      </c>
      <c r="X359" s="90" t="str">
        <f t="shared" ca="1" si="76"/>
        <v/>
      </c>
      <c r="Y359" s="91" t="str">
        <f t="shared" ca="1" si="77"/>
        <v/>
      </c>
    </row>
    <row r="360" spans="14:25" ht="14.5" x14ac:dyDescent="0.35">
      <c r="N360" s="90" t="e">
        <f t="shared" si="66"/>
        <v>#DIV/0!</v>
      </c>
      <c r="O360" s="90" t="str">
        <f t="shared" ca="1" si="70"/>
        <v/>
      </c>
      <c r="P360" s="91" t="str">
        <f t="shared" ca="1" si="71"/>
        <v/>
      </c>
      <c r="Q360" s="90" t="e">
        <f t="shared" si="67"/>
        <v>#DIV/0!</v>
      </c>
      <c r="R360" s="90" t="str">
        <f t="shared" ca="1" si="72"/>
        <v/>
      </c>
      <c r="S360" s="91" t="str">
        <f t="shared" ca="1" si="73"/>
        <v/>
      </c>
      <c r="T360" s="90" t="e">
        <f t="shared" si="68"/>
        <v>#DIV/0!</v>
      </c>
      <c r="U360" s="90" t="str">
        <f t="shared" ca="1" si="74"/>
        <v/>
      </c>
      <c r="V360" s="91" t="str">
        <f t="shared" ca="1" si="75"/>
        <v/>
      </c>
      <c r="W360" s="90" t="e">
        <f t="shared" si="69"/>
        <v>#DIV/0!</v>
      </c>
      <c r="X360" s="90" t="str">
        <f t="shared" ca="1" si="76"/>
        <v/>
      </c>
      <c r="Y360" s="91" t="str">
        <f t="shared" ca="1" si="77"/>
        <v/>
      </c>
    </row>
    <row r="361" spans="14:25" ht="14.5" x14ac:dyDescent="0.35">
      <c r="N361" s="90" t="e">
        <f t="shared" si="66"/>
        <v>#DIV/0!</v>
      </c>
      <c r="O361" s="90" t="str">
        <f t="shared" ca="1" si="70"/>
        <v/>
      </c>
      <c r="P361" s="91" t="str">
        <f t="shared" ca="1" si="71"/>
        <v/>
      </c>
      <c r="Q361" s="90" t="e">
        <f t="shared" si="67"/>
        <v>#DIV/0!</v>
      </c>
      <c r="R361" s="90" t="str">
        <f t="shared" ca="1" si="72"/>
        <v/>
      </c>
      <c r="S361" s="91" t="str">
        <f t="shared" ca="1" si="73"/>
        <v/>
      </c>
      <c r="T361" s="90" t="e">
        <f t="shared" si="68"/>
        <v>#DIV/0!</v>
      </c>
      <c r="U361" s="90" t="str">
        <f t="shared" ca="1" si="74"/>
        <v/>
      </c>
      <c r="V361" s="91" t="str">
        <f t="shared" ca="1" si="75"/>
        <v/>
      </c>
      <c r="W361" s="90" t="e">
        <f t="shared" si="69"/>
        <v>#DIV/0!</v>
      </c>
      <c r="X361" s="90" t="str">
        <f t="shared" ca="1" si="76"/>
        <v/>
      </c>
      <c r="Y361" s="91" t="str">
        <f t="shared" ca="1" si="77"/>
        <v/>
      </c>
    </row>
    <row r="362" spans="14:25" ht="14.5" x14ac:dyDescent="0.35">
      <c r="N362" s="90" t="e">
        <f t="shared" si="66"/>
        <v>#DIV/0!</v>
      </c>
      <c r="O362" s="90" t="str">
        <f t="shared" ca="1" si="70"/>
        <v/>
      </c>
      <c r="P362" s="91" t="str">
        <f t="shared" ca="1" si="71"/>
        <v/>
      </c>
      <c r="Q362" s="90" t="e">
        <f t="shared" si="67"/>
        <v>#DIV/0!</v>
      </c>
      <c r="R362" s="90" t="str">
        <f t="shared" ca="1" si="72"/>
        <v/>
      </c>
      <c r="S362" s="91" t="str">
        <f t="shared" ca="1" si="73"/>
        <v/>
      </c>
      <c r="T362" s="90" t="e">
        <f t="shared" si="68"/>
        <v>#DIV/0!</v>
      </c>
      <c r="U362" s="90" t="str">
        <f t="shared" ca="1" si="74"/>
        <v/>
      </c>
      <c r="V362" s="91" t="str">
        <f t="shared" ca="1" si="75"/>
        <v/>
      </c>
      <c r="W362" s="90" t="e">
        <f t="shared" si="69"/>
        <v>#DIV/0!</v>
      </c>
      <c r="X362" s="90" t="str">
        <f t="shared" ca="1" si="76"/>
        <v/>
      </c>
      <c r="Y362" s="91" t="str">
        <f t="shared" ca="1" si="77"/>
        <v/>
      </c>
    </row>
    <row r="363" spans="14:25" ht="14.5" x14ac:dyDescent="0.35">
      <c r="N363" s="90" t="e">
        <f t="shared" si="66"/>
        <v>#DIV/0!</v>
      </c>
      <c r="O363" s="90" t="str">
        <f t="shared" ca="1" si="70"/>
        <v/>
      </c>
      <c r="P363" s="91" t="str">
        <f t="shared" ca="1" si="71"/>
        <v/>
      </c>
      <c r="Q363" s="90" t="e">
        <f t="shared" si="67"/>
        <v>#DIV/0!</v>
      </c>
      <c r="R363" s="90" t="str">
        <f t="shared" ca="1" si="72"/>
        <v/>
      </c>
      <c r="S363" s="91" t="str">
        <f t="shared" ca="1" si="73"/>
        <v/>
      </c>
      <c r="T363" s="90" t="e">
        <f t="shared" si="68"/>
        <v>#DIV/0!</v>
      </c>
      <c r="U363" s="90" t="str">
        <f t="shared" ca="1" si="74"/>
        <v/>
      </c>
      <c r="V363" s="91" t="str">
        <f t="shared" ca="1" si="75"/>
        <v/>
      </c>
      <c r="W363" s="90" t="e">
        <f t="shared" si="69"/>
        <v>#DIV/0!</v>
      </c>
      <c r="X363" s="90" t="str">
        <f t="shared" ca="1" si="76"/>
        <v/>
      </c>
      <c r="Y363" s="91" t="str">
        <f t="shared" ca="1" si="77"/>
        <v/>
      </c>
    </row>
    <row r="364" spans="14:25" ht="14.5" x14ac:dyDescent="0.35">
      <c r="N364" s="90" t="e">
        <f t="shared" si="66"/>
        <v>#DIV/0!</v>
      </c>
      <c r="O364" s="90" t="str">
        <f t="shared" ca="1" si="70"/>
        <v/>
      </c>
      <c r="P364" s="91" t="str">
        <f t="shared" ca="1" si="71"/>
        <v/>
      </c>
      <c r="Q364" s="90" t="e">
        <f t="shared" si="67"/>
        <v>#DIV/0!</v>
      </c>
      <c r="R364" s="90" t="str">
        <f t="shared" ca="1" si="72"/>
        <v/>
      </c>
      <c r="S364" s="91" t="str">
        <f t="shared" ca="1" si="73"/>
        <v/>
      </c>
      <c r="T364" s="90" t="e">
        <f t="shared" si="68"/>
        <v>#DIV/0!</v>
      </c>
      <c r="U364" s="90" t="str">
        <f t="shared" ca="1" si="74"/>
        <v/>
      </c>
      <c r="V364" s="91" t="str">
        <f t="shared" ca="1" si="75"/>
        <v/>
      </c>
      <c r="W364" s="90" t="e">
        <f t="shared" si="69"/>
        <v>#DIV/0!</v>
      </c>
      <c r="X364" s="90" t="str">
        <f t="shared" ca="1" si="76"/>
        <v/>
      </c>
      <c r="Y364" s="91" t="str">
        <f t="shared" ca="1" si="77"/>
        <v/>
      </c>
    </row>
    <row r="365" spans="14:25" ht="14.5" x14ac:dyDescent="0.35">
      <c r="N365" s="90" t="e">
        <f t="shared" si="66"/>
        <v>#DIV/0!</v>
      </c>
      <c r="O365" s="90" t="str">
        <f t="shared" ca="1" si="70"/>
        <v/>
      </c>
      <c r="P365" s="91" t="str">
        <f t="shared" ca="1" si="71"/>
        <v/>
      </c>
      <c r="Q365" s="90" t="e">
        <f t="shared" si="67"/>
        <v>#DIV/0!</v>
      </c>
      <c r="R365" s="90" t="str">
        <f t="shared" ca="1" si="72"/>
        <v/>
      </c>
      <c r="S365" s="91" t="str">
        <f t="shared" ca="1" si="73"/>
        <v/>
      </c>
      <c r="T365" s="90" t="e">
        <f t="shared" si="68"/>
        <v>#DIV/0!</v>
      </c>
      <c r="U365" s="90" t="str">
        <f t="shared" ca="1" si="74"/>
        <v/>
      </c>
      <c r="V365" s="91" t="str">
        <f t="shared" ca="1" si="75"/>
        <v/>
      </c>
      <c r="W365" s="90" t="e">
        <f t="shared" si="69"/>
        <v>#DIV/0!</v>
      </c>
      <c r="X365" s="90" t="str">
        <f t="shared" ca="1" si="76"/>
        <v/>
      </c>
      <c r="Y365" s="91" t="str">
        <f t="shared" ca="1" si="77"/>
        <v/>
      </c>
    </row>
    <row r="366" spans="14:25" ht="14.5" x14ac:dyDescent="0.35">
      <c r="N366" s="90" t="e">
        <f t="shared" si="66"/>
        <v>#DIV/0!</v>
      </c>
      <c r="O366" s="90" t="str">
        <f t="shared" ca="1" si="70"/>
        <v/>
      </c>
      <c r="P366" s="91" t="str">
        <f t="shared" ca="1" si="71"/>
        <v/>
      </c>
      <c r="Q366" s="90" t="e">
        <f t="shared" si="67"/>
        <v>#DIV/0!</v>
      </c>
      <c r="R366" s="90" t="str">
        <f t="shared" ca="1" si="72"/>
        <v/>
      </c>
      <c r="S366" s="91" t="str">
        <f t="shared" ca="1" si="73"/>
        <v/>
      </c>
      <c r="T366" s="90" t="e">
        <f t="shared" si="68"/>
        <v>#DIV/0!</v>
      </c>
      <c r="U366" s="90" t="str">
        <f t="shared" ca="1" si="74"/>
        <v/>
      </c>
      <c r="V366" s="91" t="str">
        <f t="shared" ca="1" si="75"/>
        <v/>
      </c>
      <c r="W366" s="90" t="e">
        <f t="shared" si="69"/>
        <v>#DIV/0!</v>
      </c>
      <c r="X366" s="90" t="str">
        <f t="shared" ca="1" si="76"/>
        <v/>
      </c>
      <c r="Y366" s="91" t="str">
        <f t="shared" ca="1" si="77"/>
        <v/>
      </c>
    </row>
    <row r="367" spans="14:25" ht="14.5" x14ac:dyDescent="0.35">
      <c r="N367" s="90" t="e">
        <f t="shared" si="66"/>
        <v>#DIV/0!</v>
      </c>
      <c r="O367" s="90" t="str">
        <f t="shared" ca="1" si="70"/>
        <v/>
      </c>
      <c r="P367" s="91" t="str">
        <f t="shared" ca="1" si="71"/>
        <v/>
      </c>
      <c r="Q367" s="90" t="e">
        <f t="shared" si="67"/>
        <v>#DIV/0!</v>
      </c>
      <c r="R367" s="90" t="str">
        <f t="shared" ca="1" si="72"/>
        <v/>
      </c>
      <c r="S367" s="91" t="str">
        <f t="shared" ca="1" si="73"/>
        <v/>
      </c>
      <c r="T367" s="90" t="e">
        <f t="shared" si="68"/>
        <v>#DIV/0!</v>
      </c>
      <c r="U367" s="90" t="str">
        <f t="shared" ca="1" si="74"/>
        <v/>
      </c>
      <c r="V367" s="91" t="str">
        <f t="shared" ca="1" si="75"/>
        <v/>
      </c>
      <c r="W367" s="90" t="e">
        <f t="shared" si="69"/>
        <v>#DIV/0!</v>
      </c>
      <c r="X367" s="90" t="str">
        <f t="shared" ca="1" si="76"/>
        <v/>
      </c>
      <c r="Y367" s="91" t="str">
        <f t="shared" ca="1" si="77"/>
        <v/>
      </c>
    </row>
    <row r="368" spans="14:25" ht="14.5" x14ac:dyDescent="0.35">
      <c r="N368" s="90" t="e">
        <f>IF(AND(W367&lt;$B$24,W367&lt;$R$14),W367+1,"")</f>
        <v>#DIV/0!</v>
      </c>
      <c r="O368" s="90" t="str">
        <f t="shared" ca="1" si="70"/>
        <v/>
      </c>
      <c r="P368" s="91" t="str">
        <f t="shared" ca="1" si="71"/>
        <v/>
      </c>
      <c r="Q368" s="90" t="e">
        <f>IF(AND(N417&lt;$B$24,N417&lt;$R$14),N417+1,"")</f>
        <v>#DIV/0!</v>
      </c>
      <c r="R368" s="90" t="str">
        <f t="shared" ca="1" si="72"/>
        <v/>
      </c>
      <c r="S368" s="91" t="str">
        <f t="shared" ca="1" si="73"/>
        <v/>
      </c>
      <c r="T368" s="90" t="e">
        <f>IF(AND(Q417&lt;$B$24,Q417&lt;$R$14),Q417+1,"")</f>
        <v>#DIV/0!</v>
      </c>
      <c r="U368" s="90" t="str">
        <f t="shared" ca="1" si="74"/>
        <v/>
      </c>
      <c r="V368" s="91" t="str">
        <f t="shared" ca="1" si="75"/>
        <v/>
      </c>
      <c r="W368" s="90" t="e">
        <f>IF(AND(T417&lt;$B$24,T417&lt;$R$14),T417+1,"")</f>
        <v>#DIV/0!</v>
      </c>
      <c r="X368" s="90" t="str">
        <f t="shared" ca="1" si="76"/>
        <v/>
      </c>
      <c r="Y368" s="91" t="str">
        <f t="shared" ca="1" si="77"/>
        <v/>
      </c>
    </row>
    <row r="369" spans="14:25" ht="14.5" x14ac:dyDescent="0.35">
      <c r="N369" s="90" t="e">
        <f t="shared" ref="N369:N417" si="78">IF(AND(N368&lt;$B$24,N368&lt;$R$14),N368+1,"")</f>
        <v>#DIV/0!</v>
      </c>
      <c r="O369" s="90" t="str">
        <f t="shared" ca="1" si="70"/>
        <v/>
      </c>
      <c r="P369" s="91" t="str">
        <f t="shared" ca="1" si="71"/>
        <v/>
      </c>
      <c r="Q369" s="90" t="e">
        <f t="shared" ref="Q369:Q417" si="79">IF(AND(Q368&lt;$B$24,Q368&lt;$R$14),Q368+1,"")</f>
        <v>#DIV/0!</v>
      </c>
      <c r="R369" s="90" t="str">
        <f t="shared" ca="1" si="72"/>
        <v/>
      </c>
      <c r="S369" s="91" t="str">
        <f t="shared" ca="1" si="73"/>
        <v/>
      </c>
      <c r="T369" s="90" t="e">
        <f t="shared" ref="T369:T417" si="80">IF(AND(T368&lt;$B$24,T368&lt;$R$14),T368+1,"")</f>
        <v>#DIV/0!</v>
      </c>
      <c r="U369" s="90" t="str">
        <f t="shared" ca="1" si="74"/>
        <v/>
      </c>
      <c r="V369" s="91" t="str">
        <f t="shared" ca="1" si="75"/>
        <v/>
      </c>
      <c r="W369" s="90" t="e">
        <f t="shared" ref="W369:W417" si="81">IF(AND(W368&lt;$B$24,W368&lt;$R$14),W368+1,"")</f>
        <v>#DIV/0!</v>
      </c>
      <c r="X369" s="90" t="str">
        <f t="shared" ca="1" si="76"/>
        <v/>
      </c>
      <c r="Y369" s="91" t="str">
        <f t="shared" ca="1" si="77"/>
        <v/>
      </c>
    </row>
    <row r="370" spans="14:25" ht="14.5" x14ac:dyDescent="0.35">
      <c r="N370" s="90" t="e">
        <f t="shared" si="78"/>
        <v>#DIV/0!</v>
      </c>
      <c r="O370" s="90" t="str">
        <f t="shared" ca="1" si="70"/>
        <v/>
      </c>
      <c r="P370" s="91" t="str">
        <f t="shared" ca="1" si="71"/>
        <v/>
      </c>
      <c r="Q370" s="90" t="e">
        <f t="shared" si="79"/>
        <v>#DIV/0!</v>
      </c>
      <c r="R370" s="90" t="str">
        <f t="shared" ca="1" si="72"/>
        <v/>
      </c>
      <c r="S370" s="91" t="str">
        <f t="shared" ca="1" si="73"/>
        <v/>
      </c>
      <c r="T370" s="90" t="e">
        <f t="shared" si="80"/>
        <v>#DIV/0!</v>
      </c>
      <c r="U370" s="90" t="str">
        <f t="shared" ca="1" si="74"/>
        <v/>
      </c>
      <c r="V370" s="91" t="str">
        <f t="shared" ca="1" si="75"/>
        <v/>
      </c>
      <c r="W370" s="90" t="e">
        <f t="shared" si="81"/>
        <v>#DIV/0!</v>
      </c>
      <c r="X370" s="90" t="str">
        <f t="shared" ca="1" si="76"/>
        <v/>
      </c>
      <c r="Y370" s="91" t="str">
        <f t="shared" ca="1" si="77"/>
        <v/>
      </c>
    </row>
    <row r="371" spans="14:25" ht="14.5" x14ac:dyDescent="0.35">
      <c r="N371" s="90" t="e">
        <f t="shared" si="78"/>
        <v>#DIV/0!</v>
      </c>
      <c r="O371" s="90" t="str">
        <f t="shared" ca="1" si="70"/>
        <v/>
      </c>
      <c r="P371" s="91" t="str">
        <f t="shared" ca="1" si="71"/>
        <v/>
      </c>
      <c r="Q371" s="90" t="e">
        <f t="shared" si="79"/>
        <v>#DIV/0!</v>
      </c>
      <c r="R371" s="90" t="str">
        <f t="shared" ca="1" si="72"/>
        <v/>
      </c>
      <c r="S371" s="91" t="str">
        <f t="shared" ca="1" si="73"/>
        <v/>
      </c>
      <c r="T371" s="90" t="e">
        <f t="shared" si="80"/>
        <v>#DIV/0!</v>
      </c>
      <c r="U371" s="90" t="str">
        <f t="shared" ca="1" si="74"/>
        <v/>
      </c>
      <c r="V371" s="91" t="str">
        <f t="shared" ca="1" si="75"/>
        <v/>
      </c>
      <c r="W371" s="90" t="e">
        <f t="shared" si="81"/>
        <v>#DIV/0!</v>
      </c>
      <c r="X371" s="90" t="str">
        <f t="shared" ca="1" si="76"/>
        <v/>
      </c>
      <c r="Y371" s="91" t="str">
        <f t="shared" ca="1" si="77"/>
        <v/>
      </c>
    </row>
    <row r="372" spans="14:25" ht="14.5" x14ac:dyDescent="0.35">
      <c r="N372" s="90" t="e">
        <f t="shared" si="78"/>
        <v>#DIV/0!</v>
      </c>
      <c r="O372" s="90" t="str">
        <f t="shared" ca="1" si="70"/>
        <v/>
      </c>
      <c r="P372" s="91" t="str">
        <f t="shared" ca="1" si="71"/>
        <v/>
      </c>
      <c r="Q372" s="90" t="e">
        <f t="shared" si="79"/>
        <v>#DIV/0!</v>
      </c>
      <c r="R372" s="90" t="str">
        <f t="shared" ca="1" si="72"/>
        <v/>
      </c>
      <c r="S372" s="91" t="str">
        <f t="shared" ca="1" si="73"/>
        <v/>
      </c>
      <c r="T372" s="90" t="e">
        <f t="shared" si="80"/>
        <v>#DIV/0!</v>
      </c>
      <c r="U372" s="90" t="str">
        <f t="shared" ca="1" si="74"/>
        <v/>
      </c>
      <c r="V372" s="91" t="str">
        <f t="shared" ca="1" si="75"/>
        <v/>
      </c>
      <c r="W372" s="90" t="e">
        <f t="shared" si="81"/>
        <v>#DIV/0!</v>
      </c>
      <c r="X372" s="90" t="str">
        <f t="shared" ca="1" si="76"/>
        <v/>
      </c>
      <c r="Y372" s="91" t="str">
        <f t="shared" ca="1" si="77"/>
        <v/>
      </c>
    </row>
    <row r="373" spans="14:25" ht="14.5" x14ac:dyDescent="0.35">
      <c r="N373" s="90" t="e">
        <f t="shared" si="78"/>
        <v>#DIV/0!</v>
      </c>
      <c r="O373" s="90" t="str">
        <f t="shared" ca="1" si="70"/>
        <v/>
      </c>
      <c r="P373" s="91" t="str">
        <f t="shared" ca="1" si="71"/>
        <v/>
      </c>
      <c r="Q373" s="90" t="e">
        <f t="shared" si="79"/>
        <v>#DIV/0!</v>
      </c>
      <c r="R373" s="90" t="str">
        <f t="shared" ca="1" si="72"/>
        <v/>
      </c>
      <c r="S373" s="91" t="str">
        <f t="shared" ca="1" si="73"/>
        <v/>
      </c>
      <c r="T373" s="90" t="e">
        <f t="shared" si="80"/>
        <v>#DIV/0!</v>
      </c>
      <c r="U373" s="90" t="str">
        <f t="shared" ca="1" si="74"/>
        <v/>
      </c>
      <c r="V373" s="91" t="str">
        <f t="shared" ca="1" si="75"/>
        <v/>
      </c>
      <c r="W373" s="90" t="e">
        <f t="shared" si="81"/>
        <v>#DIV/0!</v>
      </c>
      <c r="X373" s="90" t="str">
        <f t="shared" ca="1" si="76"/>
        <v/>
      </c>
      <c r="Y373" s="91" t="str">
        <f t="shared" ca="1" si="77"/>
        <v/>
      </c>
    </row>
    <row r="374" spans="14:25" ht="14.5" x14ac:dyDescent="0.35">
      <c r="N374" s="90" t="e">
        <f t="shared" si="78"/>
        <v>#DIV/0!</v>
      </c>
      <c r="O374" s="90" t="str">
        <f t="shared" ca="1" si="70"/>
        <v/>
      </c>
      <c r="P374" s="91" t="str">
        <f t="shared" ca="1" si="71"/>
        <v/>
      </c>
      <c r="Q374" s="90" t="e">
        <f t="shared" si="79"/>
        <v>#DIV/0!</v>
      </c>
      <c r="R374" s="90" t="str">
        <f t="shared" ca="1" si="72"/>
        <v/>
      </c>
      <c r="S374" s="91" t="str">
        <f t="shared" ca="1" si="73"/>
        <v/>
      </c>
      <c r="T374" s="90" t="e">
        <f t="shared" si="80"/>
        <v>#DIV/0!</v>
      </c>
      <c r="U374" s="90" t="str">
        <f t="shared" ca="1" si="74"/>
        <v/>
      </c>
      <c r="V374" s="91" t="str">
        <f t="shared" ca="1" si="75"/>
        <v/>
      </c>
      <c r="W374" s="90" t="e">
        <f t="shared" si="81"/>
        <v>#DIV/0!</v>
      </c>
      <c r="X374" s="90" t="str">
        <f t="shared" ca="1" si="76"/>
        <v/>
      </c>
      <c r="Y374" s="91" t="str">
        <f t="shared" ca="1" si="77"/>
        <v/>
      </c>
    </row>
    <row r="375" spans="14:25" ht="14.5" x14ac:dyDescent="0.35">
      <c r="N375" s="90" t="e">
        <f t="shared" si="78"/>
        <v>#DIV/0!</v>
      </c>
      <c r="O375" s="90" t="str">
        <f t="shared" ca="1" si="70"/>
        <v/>
      </c>
      <c r="P375" s="91" t="str">
        <f t="shared" ca="1" si="71"/>
        <v/>
      </c>
      <c r="Q375" s="90" t="e">
        <f t="shared" si="79"/>
        <v>#DIV/0!</v>
      </c>
      <c r="R375" s="90" t="str">
        <f t="shared" ca="1" si="72"/>
        <v/>
      </c>
      <c r="S375" s="91" t="str">
        <f t="shared" ca="1" si="73"/>
        <v/>
      </c>
      <c r="T375" s="90" t="e">
        <f t="shared" si="80"/>
        <v>#DIV/0!</v>
      </c>
      <c r="U375" s="90" t="str">
        <f t="shared" ca="1" si="74"/>
        <v/>
      </c>
      <c r="V375" s="91" t="str">
        <f t="shared" ca="1" si="75"/>
        <v/>
      </c>
      <c r="W375" s="90" t="e">
        <f t="shared" si="81"/>
        <v>#DIV/0!</v>
      </c>
      <c r="X375" s="90" t="str">
        <f t="shared" ca="1" si="76"/>
        <v/>
      </c>
      <c r="Y375" s="91" t="str">
        <f t="shared" ca="1" si="77"/>
        <v/>
      </c>
    </row>
    <row r="376" spans="14:25" ht="14.5" x14ac:dyDescent="0.35">
      <c r="N376" s="90" t="e">
        <f t="shared" si="78"/>
        <v>#DIV/0!</v>
      </c>
      <c r="O376" s="90" t="str">
        <f t="shared" ca="1" si="70"/>
        <v/>
      </c>
      <c r="P376" s="91" t="str">
        <f t="shared" ca="1" si="71"/>
        <v/>
      </c>
      <c r="Q376" s="90" t="e">
        <f t="shared" si="79"/>
        <v>#DIV/0!</v>
      </c>
      <c r="R376" s="90" t="str">
        <f t="shared" ca="1" si="72"/>
        <v/>
      </c>
      <c r="S376" s="91" t="str">
        <f t="shared" ca="1" si="73"/>
        <v/>
      </c>
      <c r="T376" s="90" t="e">
        <f t="shared" si="80"/>
        <v>#DIV/0!</v>
      </c>
      <c r="U376" s="90" t="str">
        <f t="shared" ca="1" si="74"/>
        <v/>
      </c>
      <c r="V376" s="91" t="str">
        <f t="shared" ca="1" si="75"/>
        <v/>
      </c>
      <c r="W376" s="90" t="e">
        <f t="shared" si="81"/>
        <v>#DIV/0!</v>
      </c>
      <c r="X376" s="90" t="str">
        <f t="shared" ca="1" si="76"/>
        <v/>
      </c>
      <c r="Y376" s="91" t="str">
        <f t="shared" ca="1" si="77"/>
        <v/>
      </c>
    </row>
    <row r="377" spans="14:25" ht="14.5" x14ac:dyDescent="0.35">
      <c r="N377" s="90" t="e">
        <f t="shared" si="78"/>
        <v>#DIV/0!</v>
      </c>
      <c r="O377" s="90" t="str">
        <f t="shared" ca="1" si="70"/>
        <v/>
      </c>
      <c r="P377" s="91" t="str">
        <f t="shared" ca="1" si="71"/>
        <v/>
      </c>
      <c r="Q377" s="90" t="e">
        <f t="shared" si="79"/>
        <v>#DIV/0!</v>
      </c>
      <c r="R377" s="90" t="str">
        <f t="shared" ca="1" si="72"/>
        <v/>
      </c>
      <c r="S377" s="91" t="str">
        <f t="shared" ca="1" si="73"/>
        <v/>
      </c>
      <c r="T377" s="90" t="e">
        <f t="shared" si="80"/>
        <v>#DIV/0!</v>
      </c>
      <c r="U377" s="90" t="str">
        <f t="shared" ca="1" si="74"/>
        <v/>
      </c>
      <c r="V377" s="91" t="str">
        <f t="shared" ca="1" si="75"/>
        <v/>
      </c>
      <c r="W377" s="90" t="e">
        <f t="shared" si="81"/>
        <v>#DIV/0!</v>
      </c>
      <c r="X377" s="90" t="str">
        <f t="shared" ca="1" si="76"/>
        <v/>
      </c>
      <c r="Y377" s="91" t="str">
        <f t="shared" ca="1" si="77"/>
        <v/>
      </c>
    </row>
    <row r="378" spans="14:25" ht="14.5" x14ac:dyDescent="0.35">
      <c r="N378" s="90" t="e">
        <f t="shared" si="78"/>
        <v>#DIV/0!</v>
      </c>
      <c r="O378" s="90" t="str">
        <f t="shared" ca="1" si="70"/>
        <v/>
      </c>
      <c r="P378" s="91" t="str">
        <f t="shared" ca="1" si="71"/>
        <v/>
      </c>
      <c r="Q378" s="90" t="e">
        <f t="shared" si="79"/>
        <v>#DIV/0!</v>
      </c>
      <c r="R378" s="90" t="str">
        <f t="shared" ca="1" si="72"/>
        <v/>
      </c>
      <c r="S378" s="91" t="str">
        <f t="shared" ca="1" si="73"/>
        <v/>
      </c>
      <c r="T378" s="90" t="e">
        <f t="shared" si="80"/>
        <v>#DIV/0!</v>
      </c>
      <c r="U378" s="90" t="str">
        <f t="shared" ca="1" si="74"/>
        <v/>
      </c>
      <c r="V378" s="91" t="str">
        <f t="shared" ca="1" si="75"/>
        <v/>
      </c>
      <c r="W378" s="90" t="e">
        <f t="shared" si="81"/>
        <v>#DIV/0!</v>
      </c>
      <c r="X378" s="90" t="str">
        <f t="shared" ca="1" si="76"/>
        <v/>
      </c>
      <c r="Y378" s="91" t="str">
        <f t="shared" ca="1" si="77"/>
        <v/>
      </c>
    </row>
    <row r="379" spans="14:25" ht="14.5" x14ac:dyDescent="0.35">
      <c r="N379" s="90" t="e">
        <f t="shared" si="78"/>
        <v>#DIV/0!</v>
      </c>
      <c r="O379" s="90" t="str">
        <f t="shared" ca="1" si="70"/>
        <v/>
      </c>
      <c r="P379" s="91" t="str">
        <f t="shared" ca="1" si="71"/>
        <v/>
      </c>
      <c r="Q379" s="90" t="e">
        <f t="shared" si="79"/>
        <v>#DIV/0!</v>
      </c>
      <c r="R379" s="90" t="str">
        <f t="shared" ca="1" si="72"/>
        <v/>
      </c>
      <c r="S379" s="91" t="str">
        <f t="shared" ca="1" si="73"/>
        <v/>
      </c>
      <c r="T379" s="90" t="e">
        <f t="shared" si="80"/>
        <v>#DIV/0!</v>
      </c>
      <c r="U379" s="90" t="str">
        <f t="shared" ca="1" si="74"/>
        <v/>
      </c>
      <c r="V379" s="91" t="str">
        <f t="shared" ca="1" si="75"/>
        <v/>
      </c>
      <c r="W379" s="90" t="e">
        <f t="shared" si="81"/>
        <v>#DIV/0!</v>
      </c>
      <c r="X379" s="90" t="str">
        <f t="shared" ca="1" si="76"/>
        <v/>
      </c>
      <c r="Y379" s="91" t="str">
        <f t="shared" ca="1" si="77"/>
        <v/>
      </c>
    </row>
    <row r="380" spans="14:25" ht="14.5" x14ac:dyDescent="0.35">
      <c r="N380" s="90" t="e">
        <f t="shared" si="78"/>
        <v>#DIV/0!</v>
      </c>
      <c r="O380" s="90" t="str">
        <f t="shared" ca="1" si="70"/>
        <v/>
      </c>
      <c r="P380" s="91" t="str">
        <f t="shared" ca="1" si="71"/>
        <v/>
      </c>
      <c r="Q380" s="90" t="e">
        <f t="shared" si="79"/>
        <v>#DIV/0!</v>
      </c>
      <c r="R380" s="90" t="str">
        <f t="shared" ca="1" si="72"/>
        <v/>
      </c>
      <c r="S380" s="91" t="str">
        <f t="shared" ca="1" si="73"/>
        <v/>
      </c>
      <c r="T380" s="90" t="e">
        <f t="shared" si="80"/>
        <v>#DIV/0!</v>
      </c>
      <c r="U380" s="90" t="str">
        <f t="shared" ca="1" si="74"/>
        <v/>
      </c>
      <c r="V380" s="91" t="str">
        <f t="shared" ca="1" si="75"/>
        <v/>
      </c>
      <c r="W380" s="90" t="e">
        <f t="shared" si="81"/>
        <v>#DIV/0!</v>
      </c>
      <c r="X380" s="90" t="str">
        <f t="shared" ca="1" si="76"/>
        <v/>
      </c>
      <c r="Y380" s="91" t="str">
        <f t="shared" ca="1" si="77"/>
        <v/>
      </c>
    </row>
    <row r="381" spans="14:25" ht="14.5" x14ac:dyDescent="0.35">
      <c r="N381" s="90" t="e">
        <f t="shared" si="78"/>
        <v>#DIV/0!</v>
      </c>
      <c r="O381" s="90" t="str">
        <f t="shared" ca="1" si="70"/>
        <v/>
      </c>
      <c r="P381" s="91" t="str">
        <f t="shared" ca="1" si="71"/>
        <v/>
      </c>
      <c r="Q381" s="90" t="e">
        <f t="shared" si="79"/>
        <v>#DIV/0!</v>
      </c>
      <c r="R381" s="90" t="str">
        <f t="shared" ca="1" si="72"/>
        <v/>
      </c>
      <c r="S381" s="91" t="str">
        <f t="shared" ca="1" si="73"/>
        <v/>
      </c>
      <c r="T381" s="90" t="e">
        <f t="shared" si="80"/>
        <v>#DIV/0!</v>
      </c>
      <c r="U381" s="90" t="str">
        <f t="shared" ca="1" si="74"/>
        <v/>
      </c>
      <c r="V381" s="91" t="str">
        <f t="shared" ca="1" si="75"/>
        <v/>
      </c>
      <c r="W381" s="90" t="e">
        <f t="shared" si="81"/>
        <v>#DIV/0!</v>
      </c>
      <c r="X381" s="90" t="str">
        <f t="shared" ca="1" si="76"/>
        <v/>
      </c>
      <c r="Y381" s="91" t="str">
        <f t="shared" ca="1" si="77"/>
        <v/>
      </c>
    </row>
    <row r="382" spans="14:25" ht="14.5" x14ac:dyDescent="0.35">
      <c r="N382" s="90" t="e">
        <f t="shared" si="78"/>
        <v>#DIV/0!</v>
      </c>
      <c r="O382" s="90" t="str">
        <f t="shared" ca="1" si="70"/>
        <v/>
      </c>
      <c r="P382" s="91" t="str">
        <f t="shared" ca="1" si="71"/>
        <v/>
      </c>
      <c r="Q382" s="90" t="e">
        <f t="shared" si="79"/>
        <v>#DIV/0!</v>
      </c>
      <c r="R382" s="90" t="str">
        <f t="shared" ca="1" si="72"/>
        <v/>
      </c>
      <c r="S382" s="91" t="str">
        <f t="shared" ca="1" si="73"/>
        <v/>
      </c>
      <c r="T382" s="90" t="e">
        <f t="shared" si="80"/>
        <v>#DIV/0!</v>
      </c>
      <c r="U382" s="90" t="str">
        <f t="shared" ca="1" si="74"/>
        <v/>
      </c>
      <c r="V382" s="91" t="str">
        <f t="shared" ca="1" si="75"/>
        <v/>
      </c>
      <c r="W382" s="90" t="e">
        <f t="shared" si="81"/>
        <v>#DIV/0!</v>
      </c>
      <c r="X382" s="90" t="str">
        <f t="shared" ca="1" si="76"/>
        <v/>
      </c>
      <c r="Y382" s="91" t="str">
        <f t="shared" ca="1" si="77"/>
        <v/>
      </c>
    </row>
    <row r="383" spans="14:25" ht="14.5" x14ac:dyDescent="0.35">
      <c r="N383" s="90" t="e">
        <f t="shared" si="78"/>
        <v>#DIV/0!</v>
      </c>
      <c r="O383" s="90" t="str">
        <f t="shared" ca="1" si="70"/>
        <v/>
      </c>
      <c r="P383" s="91" t="str">
        <f t="shared" ca="1" si="71"/>
        <v/>
      </c>
      <c r="Q383" s="90" t="e">
        <f t="shared" si="79"/>
        <v>#DIV/0!</v>
      </c>
      <c r="R383" s="90" t="str">
        <f t="shared" ca="1" si="72"/>
        <v/>
      </c>
      <c r="S383" s="91" t="str">
        <f t="shared" ca="1" si="73"/>
        <v/>
      </c>
      <c r="T383" s="90" t="e">
        <f t="shared" si="80"/>
        <v>#DIV/0!</v>
      </c>
      <c r="U383" s="90" t="str">
        <f t="shared" ca="1" si="74"/>
        <v/>
      </c>
      <c r="V383" s="91" t="str">
        <f t="shared" ca="1" si="75"/>
        <v/>
      </c>
      <c r="W383" s="90" t="e">
        <f t="shared" si="81"/>
        <v>#DIV/0!</v>
      </c>
      <c r="X383" s="90" t="str">
        <f t="shared" ca="1" si="76"/>
        <v/>
      </c>
      <c r="Y383" s="91" t="str">
        <f t="shared" ca="1" si="77"/>
        <v/>
      </c>
    </row>
    <row r="384" spans="14:25" ht="14.5" x14ac:dyDescent="0.35">
      <c r="N384" s="90" t="e">
        <f t="shared" si="78"/>
        <v>#DIV/0!</v>
      </c>
      <c r="O384" s="90" t="str">
        <f t="shared" ca="1" si="70"/>
        <v/>
      </c>
      <c r="P384" s="91" t="str">
        <f t="shared" ca="1" si="71"/>
        <v/>
      </c>
      <c r="Q384" s="90" t="e">
        <f t="shared" si="79"/>
        <v>#DIV/0!</v>
      </c>
      <c r="R384" s="90" t="str">
        <f t="shared" ca="1" si="72"/>
        <v/>
      </c>
      <c r="S384" s="91" t="str">
        <f t="shared" ca="1" si="73"/>
        <v/>
      </c>
      <c r="T384" s="90" t="e">
        <f t="shared" si="80"/>
        <v>#DIV/0!</v>
      </c>
      <c r="U384" s="90" t="str">
        <f t="shared" ca="1" si="74"/>
        <v/>
      </c>
      <c r="V384" s="91" t="str">
        <f t="shared" ca="1" si="75"/>
        <v/>
      </c>
      <c r="W384" s="90" t="e">
        <f t="shared" si="81"/>
        <v>#DIV/0!</v>
      </c>
      <c r="X384" s="90" t="str">
        <f t="shared" ca="1" si="76"/>
        <v/>
      </c>
      <c r="Y384" s="91" t="str">
        <f t="shared" ca="1" si="77"/>
        <v/>
      </c>
    </row>
    <row r="385" spans="14:25" ht="14.5" x14ac:dyDescent="0.35">
      <c r="N385" s="90" t="e">
        <f t="shared" si="78"/>
        <v>#DIV/0!</v>
      </c>
      <c r="O385" s="90" t="str">
        <f t="shared" ca="1" si="70"/>
        <v/>
      </c>
      <c r="P385" s="91" t="str">
        <f t="shared" ca="1" si="71"/>
        <v/>
      </c>
      <c r="Q385" s="90" t="e">
        <f t="shared" si="79"/>
        <v>#DIV/0!</v>
      </c>
      <c r="R385" s="90" t="str">
        <f t="shared" ca="1" si="72"/>
        <v/>
      </c>
      <c r="S385" s="91" t="str">
        <f t="shared" ca="1" si="73"/>
        <v/>
      </c>
      <c r="T385" s="90" t="e">
        <f t="shared" si="80"/>
        <v>#DIV/0!</v>
      </c>
      <c r="U385" s="90" t="str">
        <f t="shared" ca="1" si="74"/>
        <v/>
      </c>
      <c r="V385" s="91" t="str">
        <f t="shared" ca="1" si="75"/>
        <v/>
      </c>
      <c r="W385" s="90" t="e">
        <f t="shared" si="81"/>
        <v>#DIV/0!</v>
      </c>
      <c r="X385" s="90" t="str">
        <f t="shared" ca="1" si="76"/>
        <v/>
      </c>
      <c r="Y385" s="91" t="str">
        <f t="shared" ca="1" si="77"/>
        <v/>
      </c>
    </row>
    <row r="386" spans="14:25" ht="14.5" x14ac:dyDescent="0.35">
      <c r="N386" s="90" t="e">
        <f t="shared" si="78"/>
        <v>#DIV/0!</v>
      </c>
      <c r="O386" s="90" t="str">
        <f t="shared" ca="1" si="70"/>
        <v/>
      </c>
      <c r="P386" s="91" t="str">
        <f t="shared" ca="1" si="71"/>
        <v/>
      </c>
      <c r="Q386" s="90" t="e">
        <f t="shared" si="79"/>
        <v>#DIV/0!</v>
      </c>
      <c r="R386" s="90" t="str">
        <f t="shared" ca="1" si="72"/>
        <v/>
      </c>
      <c r="S386" s="91" t="str">
        <f t="shared" ca="1" si="73"/>
        <v/>
      </c>
      <c r="T386" s="90" t="e">
        <f t="shared" si="80"/>
        <v>#DIV/0!</v>
      </c>
      <c r="U386" s="90" t="str">
        <f t="shared" ca="1" si="74"/>
        <v/>
      </c>
      <c r="V386" s="91" t="str">
        <f t="shared" ca="1" si="75"/>
        <v/>
      </c>
      <c r="W386" s="90" t="e">
        <f t="shared" si="81"/>
        <v>#DIV/0!</v>
      </c>
      <c r="X386" s="90" t="str">
        <f t="shared" ca="1" si="76"/>
        <v/>
      </c>
      <c r="Y386" s="91" t="str">
        <f t="shared" ca="1" si="77"/>
        <v/>
      </c>
    </row>
    <row r="387" spans="14:25" ht="14.5" x14ac:dyDescent="0.35">
      <c r="N387" s="90" t="e">
        <f t="shared" si="78"/>
        <v>#DIV/0!</v>
      </c>
      <c r="O387" s="90" t="str">
        <f t="shared" ca="1" si="70"/>
        <v/>
      </c>
      <c r="P387" s="91" t="str">
        <f t="shared" ca="1" si="71"/>
        <v/>
      </c>
      <c r="Q387" s="90" t="e">
        <f t="shared" si="79"/>
        <v>#DIV/0!</v>
      </c>
      <c r="R387" s="90" t="str">
        <f t="shared" ca="1" si="72"/>
        <v/>
      </c>
      <c r="S387" s="91" t="str">
        <f t="shared" ca="1" si="73"/>
        <v/>
      </c>
      <c r="T387" s="90" t="e">
        <f t="shared" si="80"/>
        <v>#DIV/0!</v>
      </c>
      <c r="U387" s="90" t="str">
        <f t="shared" ca="1" si="74"/>
        <v/>
      </c>
      <c r="V387" s="91" t="str">
        <f t="shared" ca="1" si="75"/>
        <v/>
      </c>
      <c r="W387" s="90" t="e">
        <f t="shared" si="81"/>
        <v>#DIV/0!</v>
      </c>
      <c r="X387" s="90" t="str">
        <f t="shared" ca="1" si="76"/>
        <v/>
      </c>
      <c r="Y387" s="91" t="str">
        <f t="shared" ca="1" si="77"/>
        <v/>
      </c>
    </row>
    <row r="388" spans="14:25" ht="14.5" x14ac:dyDescent="0.35">
      <c r="N388" s="90" t="e">
        <f t="shared" si="78"/>
        <v>#DIV/0!</v>
      </c>
      <c r="O388" s="90" t="str">
        <f t="shared" ca="1" si="70"/>
        <v/>
      </c>
      <c r="P388" s="91" t="str">
        <f t="shared" ca="1" si="71"/>
        <v/>
      </c>
      <c r="Q388" s="90" t="e">
        <f t="shared" si="79"/>
        <v>#DIV/0!</v>
      </c>
      <c r="R388" s="90" t="str">
        <f t="shared" ca="1" si="72"/>
        <v/>
      </c>
      <c r="S388" s="91" t="str">
        <f t="shared" ca="1" si="73"/>
        <v/>
      </c>
      <c r="T388" s="90" t="e">
        <f t="shared" si="80"/>
        <v>#DIV/0!</v>
      </c>
      <c r="U388" s="90" t="str">
        <f t="shared" ca="1" si="74"/>
        <v/>
      </c>
      <c r="V388" s="91" t="str">
        <f t="shared" ca="1" si="75"/>
        <v/>
      </c>
      <c r="W388" s="90" t="e">
        <f t="shared" si="81"/>
        <v>#DIV/0!</v>
      </c>
      <c r="X388" s="90" t="str">
        <f t="shared" ca="1" si="76"/>
        <v/>
      </c>
      <c r="Y388" s="91" t="str">
        <f t="shared" ca="1" si="77"/>
        <v/>
      </c>
    </row>
    <row r="389" spans="14:25" ht="14.5" x14ac:dyDescent="0.35">
      <c r="N389" s="90" t="e">
        <f t="shared" si="78"/>
        <v>#DIV/0!</v>
      </c>
      <c r="O389" s="90" t="str">
        <f t="shared" ca="1" si="70"/>
        <v/>
      </c>
      <c r="P389" s="91" t="str">
        <f t="shared" ca="1" si="71"/>
        <v/>
      </c>
      <c r="Q389" s="90" t="e">
        <f t="shared" si="79"/>
        <v>#DIV/0!</v>
      </c>
      <c r="R389" s="90" t="str">
        <f t="shared" ca="1" si="72"/>
        <v/>
      </c>
      <c r="S389" s="91" t="str">
        <f t="shared" ca="1" si="73"/>
        <v/>
      </c>
      <c r="T389" s="90" t="e">
        <f t="shared" si="80"/>
        <v>#DIV/0!</v>
      </c>
      <c r="U389" s="90" t="str">
        <f t="shared" ca="1" si="74"/>
        <v/>
      </c>
      <c r="V389" s="91" t="str">
        <f t="shared" ca="1" si="75"/>
        <v/>
      </c>
      <c r="W389" s="90" t="e">
        <f t="shared" si="81"/>
        <v>#DIV/0!</v>
      </c>
      <c r="X389" s="90" t="str">
        <f t="shared" ca="1" si="76"/>
        <v/>
      </c>
      <c r="Y389" s="91" t="str">
        <f t="shared" ca="1" si="77"/>
        <v/>
      </c>
    </row>
    <row r="390" spans="14:25" ht="14.5" x14ac:dyDescent="0.35">
      <c r="N390" s="90" t="e">
        <f t="shared" si="78"/>
        <v>#DIV/0!</v>
      </c>
      <c r="O390" s="90" t="str">
        <f t="shared" ca="1" si="70"/>
        <v/>
      </c>
      <c r="P390" s="91" t="str">
        <f t="shared" ca="1" si="71"/>
        <v/>
      </c>
      <c r="Q390" s="90" t="e">
        <f t="shared" si="79"/>
        <v>#DIV/0!</v>
      </c>
      <c r="R390" s="90" t="str">
        <f t="shared" ca="1" si="72"/>
        <v/>
      </c>
      <c r="S390" s="91" t="str">
        <f t="shared" ca="1" si="73"/>
        <v/>
      </c>
      <c r="T390" s="90" t="e">
        <f t="shared" si="80"/>
        <v>#DIV/0!</v>
      </c>
      <c r="U390" s="90" t="str">
        <f t="shared" ca="1" si="74"/>
        <v/>
      </c>
      <c r="V390" s="91" t="str">
        <f t="shared" ca="1" si="75"/>
        <v/>
      </c>
      <c r="W390" s="90" t="e">
        <f t="shared" si="81"/>
        <v>#DIV/0!</v>
      </c>
      <c r="X390" s="90" t="str">
        <f t="shared" ca="1" si="76"/>
        <v/>
      </c>
      <c r="Y390" s="91" t="str">
        <f t="shared" ca="1" si="77"/>
        <v/>
      </c>
    </row>
    <row r="391" spans="14:25" ht="14.5" x14ac:dyDescent="0.35">
      <c r="N391" s="90" t="e">
        <f t="shared" si="78"/>
        <v>#DIV/0!</v>
      </c>
      <c r="O391" s="90" t="str">
        <f t="shared" ca="1" si="70"/>
        <v/>
      </c>
      <c r="P391" s="91" t="str">
        <f t="shared" ca="1" si="71"/>
        <v/>
      </c>
      <c r="Q391" s="90" t="e">
        <f t="shared" si="79"/>
        <v>#DIV/0!</v>
      </c>
      <c r="R391" s="90" t="str">
        <f t="shared" ca="1" si="72"/>
        <v/>
      </c>
      <c r="S391" s="91" t="str">
        <f t="shared" ca="1" si="73"/>
        <v/>
      </c>
      <c r="T391" s="90" t="e">
        <f t="shared" si="80"/>
        <v>#DIV/0!</v>
      </c>
      <c r="U391" s="90" t="str">
        <f t="shared" ca="1" si="74"/>
        <v/>
      </c>
      <c r="V391" s="91" t="str">
        <f t="shared" ca="1" si="75"/>
        <v/>
      </c>
      <c r="W391" s="90" t="e">
        <f t="shared" si="81"/>
        <v>#DIV/0!</v>
      </c>
      <c r="X391" s="90" t="str">
        <f t="shared" ca="1" si="76"/>
        <v/>
      </c>
      <c r="Y391" s="91" t="str">
        <f t="shared" ca="1" si="77"/>
        <v/>
      </c>
    </row>
    <row r="392" spans="14:25" ht="14.5" x14ac:dyDescent="0.35">
      <c r="N392" s="90" t="e">
        <f t="shared" si="78"/>
        <v>#DIV/0!</v>
      </c>
      <c r="O392" s="90" t="str">
        <f t="shared" ca="1" si="70"/>
        <v/>
      </c>
      <c r="P392" s="91" t="str">
        <f t="shared" ca="1" si="71"/>
        <v/>
      </c>
      <c r="Q392" s="90" t="e">
        <f t="shared" si="79"/>
        <v>#DIV/0!</v>
      </c>
      <c r="R392" s="90" t="str">
        <f t="shared" ca="1" si="72"/>
        <v/>
      </c>
      <c r="S392" s="91" t="str">
        <f t="shared" ca="1" si="73"/>
        <v/>
      </c>
      <c r="T392" s="90" t="e">
        <f t="shared" si="80"/>
        <v>#DIV/0!</v>
      </c>
      <c r="U392" s="90" t="str">
        <f t="shared" ca="1" si="74"/>
        <v/>
      </c>
      <c r="V392" s="91" t="str">
        <f t="shared" ca="1" si="75"/>
        <v/>
      </c>
      <c r="W392" s="90" t="e">
        <f t="shared" si="81"/>
        <v>#DIV/0!</v>
      </c>
      <c r="X392" s="90" t="str">
        <f t="shared" ca="1" si="76"/>
        <v/>
      </c>
      <c r="Y392" s="91" t="str">
        <f t="shared" ca="1" si="77"/>
        <v/>
      </c>
    </row>
    <row r="393" spans="14:25" ht="14.5" x14ac:dyDescent="0.35">
      <c r="N393" s="90" t="e">
        <f t="shared" si="78"/>
        <v>#DIV/0!</v>
      </c>
      <c r="O393" s="90" t="str">
        <f t="shared" ca="1" si="70"/>
        <v/>
      </c>
      <c r="P393" s="91" t="str">
        <f t="shared" ca="1" si="71"/>
        <v/>
      </c>
      <c r="Q393" s="90" t="e">
        <f t="shared" si="79"/>
        <v>#DIV/0!</v>
      </c>
      <c r="R393" s="90" t="str">
        <f t="shared" ca="1" si="72"/>
        <v/>
      </c>
      <c r="S393" s="91" t="str">
        <f t="shared" ca="1" si="73"/>
        <v/>
      </c>
      <c r="T393" s="90" t="e">
        <f t="shared" si="80"/>
        <v>#DIV/0!</v>
      </c>
      <c r="U393" s="90" t="str">
        <f t="shared" ca="1" si="74"/>
        <v/>
      </c>
      <c r="V393" s="91" t="str">
        <f t="shared" ca="1" si="75"/>
        <v/>
      </c>
      <c r="W393" s="90" t="e">
        <f t="shared" si="81"/>
        <v>#DIV/0!</v>
      </c>
      <c r="X393" s="90" t="str">
        <f t="shared" ca="1" si="76"/>
        <v/>
      </c>
      <c r="Y393" s="91" t="str">
        <f t="shared" ca="1" si="77"/>
        <v/>
      </c>
    </row>
    <row r="394" spans="14:25" ht="14.5" x14ac:dyDescent="0.35">
      <c r="N394" s="90" t="e">
        <f t="shared" si="78"/>
        <v>#DIV/0!</v>
      </c>
      <c r="O394" s="90" t="str">
        <f t="shared" ca="1" si="70"/>
        <v/>
      </c>
      <c r="P394" s="91" t="str">
        <f t="shared" ca="1" si="71"/>
        <v/>
      </c>
      <c r="Q394" s="90" t="e">
        <f t="shared" si="79"/>
        <v>#DIV/0!</v>
      </c>
      <c r="R394" s="90" t="str">
        <f t="shared" ca="1" si="72"/>
        <v/>
      </c>
      <c r="S394" s="91" t="str">
        <f t="shared" ca="1" si="73"/>
        <v/>
      </c>
      <c r="T394" s="90" t="e">
        <f t="shared" si="80"/>
        <v>#DIV/0!</v>
      </c>
      <c r="U394" s="90" t="str">
        <f t="shared" ca="1" si="74"/>
        <v/>
      </c>
      <c r="V394" s="91" t="str">
        <f t="shared" ca="1" si="75"/>
        <v/>
      </c>
      <c r="W394" s="90" t="e">
        <f t="shared" si="81"/>
        <v>#DIV/0!</v>
      </c>
      <c r="X394" s="90" t="str">
        <f t="shared" ca="1" si="76"/>
        <v/>
      </c>
      <c r="Y394" s="91" t="str">
        <f t="shared" ca="1" si="77"/>
        <v/>
      </c>
    </row>
    <row r="395" spans="14:25" ht="14.5" x14ac:dyDescent="0.35">
      <c r="N395" s="90" t="e">
        <f t="shared" si="78"/>
        <v>#DIV/0!</v>
      </c>
      <c r="O395" s="90" t="str">
        <f t="shared" ca="1" si="70"/>
        <v/>
      </c>
      <c r="P395" s="91" t="str">
        <f t="shared" ca="1" si="71"/>
        <v/>
      </c>
      <c r="Q395" s="90" t="e">
        <f t="shared" si="79"/>
        <v>#DIV/0!</v>
      </c>
      <c r="R395" s="90" t="str">
        <f t="shared" ca="1" si="72"/>
        <v/>
      </c>
      <c r="S395" s="91" t="str">
        <f t="shared" ca="1" si="73"/>
        <v/>
      </c>
      <c r="T395" s="90" t="e">
        <f t="shared" si="80"/>
        <v>#DIV/0!</v>
      </c>
      <c r="U395" s="90" t="str">
        <f t="shared" ca="1" si="74"/>
        <v/>
      </c>
      <c r="V395" s="91" t="str">
        <f t="shared" ca="1" si="75"/>
        <v/>
      </c>
      <c r="W395" s="90" t="e">
        <f t="shared" si="81"/>
        <v>#DIV/0!</v>
      </c>
      <c r="X395" s="90" t="str">
        <f t="shared" ca="1" si="76"/>
        <v/>
      </c>
      <c r="Y395" s="91" t="str">
        <f t="shared" ca="1" si="77"/>
        <v/>
      </c>
    </row>
    <row r="396" spans="14:25" ht="14.5" x14ac:dyDescent="0.35">
      <c r="N396" s="90" t="e">
        <f t="shared" si="78"/>
        <v>#DIV/0!</v>
      </c>
      <c r="O396" s="90" t="str">
        <f t="shared" ca="1" si="70"/>
        <v/>
      </c>
      <c r="P396" s="91" t="str">
        <f t="shared" ca="1" si="71"/>
        <v/>
      </c>
      <c r="Q396" s="90" t="e">
        <f t="shared" si="79"/>
        <v>#DIV/0!</v>
      </c>
      <c r="R396" s="90" t="str">
        <f t="shared" ca="1" si="72"/>
        <v/>
      </c>
      <c r="S396" s="91" t="str">
        <f t="shared" ca="1" si="73"/>
        <v/>
      </c>
      <c r="T396" s="90" t="e">
        <f t="shared" si="80"/>
        <v>#DIV/0!</v>
      </c>
      <c r="U396" s="90" t="str">
        <f t="shared" ca="1" si="74"/>
        <v/>
      </c>
      <c r="V396" s="91" t="str">
        <f t="shared" ca="1" si="75"/>
        <v/>
      </c>
      <c r="W396" s="90" t="e">
        <f t="shared" si="81"/>
        <v>#DIV/0!</v>
      </c>
      <c r="X396" s="90" t="str">
        <f t="shared" ca="1" si="76"/>
        <v/>
      </c>
      <c r="Y396" s="91" t="str">
        <f t="shared" ca="1" si="77"/>
        <v/>
      </c>
    </row>
    <row r="397" spans="14:25" ht="14.5" x14ac:dyDescent="0.35">
      <c r="N397" s="90" t="e">
        <f t="shared" si="78"/>
        <v>#DIV/0!</v>
      </c>
      <c r="O397" s="90" t="str">
        <f t="shared" ca="1" si="70"/>
        <v/>
      </c>
      <c r="P397" s="91" t="str">
        <f t="shared" ca="1" si="71"/>
        <v/>
      </c>
      <c r="Q397" s="90" t="e">
        <f t="shared" si="79"/>
        <v>#DIV/0!</v>
      </c>
      <c r="R397" s="90" t="str">
        <f t="shared" ca="1" si="72"/>
        <v/>
      </c>
      <c r="S397" s="91" t="str">
        <f t="shared" ca="1" si="73"/>
        <v/>
      </c>
      <c r="T397" s="90" t="e">
        <f t="shared" si="80"/>
        <v>#DIV/0!</v>
      </c>
      <c r="U397" s="90" t="str">
        <f t="shared" ca="1" si="74"/>
        <v/>
      </c>
      <c r="V397" s="91" t="str">
        <f t="shared" ca="1" si="75"/>
        <v/>
      </c>
      <c r="W397" s="90" t="e">
        <f t="shared" si="81"/>
        <v>#DIV/0!</v>
      </c>
      <c r="X397" s="90" t="str">
        <f t="shared" ca="1" si="76"/>
        <v/>
      </c>
      <c r="Y397" s="91" t="str">
        <f t="shared" ca="1" si="77"/>
        <v/>
      </c>
    </row>
    <row r="398" spans="14:25" ht="14.5" x14ac:dyDescent="0.35">
      <c r="N398" s="90" t="e">
        <f t="shared" si="78"/>
        <v>#DIV/0!</v>
      </c>
      <c r="O398" s="90" t="str">
        <f t="shared" ca="1" si="70"/>
        <v/>
      </c>
      <c r="P398" s="91" t="str">
        <f t="shared" ca="1" si="71"/>
        <v/>
      </c>
      <c r="Q398" s="90" t="e">
        <f t="shared" si="79"/>
        <v>#DIV/0!</v>
      </c>
      <c r="R398" s="90" t="str">
        <f t="shared" ca="1" si="72"/>
        <v/>
      </c>
      <c r="S398" s="91" t="str">
        <f t="shared" ca="1" si="73"/>
        <v/>
      </c>
      <c r="T398" s="90" t="e">
        <f t="shared" si="80"/>
        <v>#DIV/0!</v>
      </c>
      <c r="U398" s="90" t="str">
        <f t="shared" ca="1" si="74"/>
        <v/>
      </c>
      <c r="V398" s="91" t="str">
        <f t="shared" ca="1" si="75"/>
        <v/>
      </c>
      <c r="W398" s="90" t="e">
        <f t="shared" si="81"/>
        <v>#DIV/0!</v>
      </c>
      <c r="X398" s="90" t="str">
        <f t="shared" ca="1" si="76"/>
        <v/>
      </c>
      <c r="Y398" s="91" t="str">
        <f t="shared" ca="1" si="77"/>
        <v/>
      </c>
    </row>
    <row r="399" spans="14:25" ht="14.5" x14ac:dyDescent="0.35">
      <c r="N399" s="90" t="e">
        <f t="shared" si="78"/>
        <v>#DIV/0!</v>
      </c>
      <c r="O399" s="90" t="str">
        <f t="shared" ca="1" si="70"/>
        <v/>
      </c>
      <c r="P399" s="91" t="str">
        <f t="shared" ca="1" si="71"/>
        <v/>
      </c>
      <c r="Q399" s="90" t="e">
        <f t="shared" si="79"/>
        <v>#DIV/0!</v>
      </c>
      <c r="R399" s="90" t="str">
        <f t="shared" ca="1" si="72"/>
        <v/>
      </c>
      <c r="S399" s="91" t="str">
        <f t="shared" ca="1" si="73"/>
        <v/>
      </c>
      <c r="T399" s="90" t="e">
        <f t="shared" si="80"/>
        <v>#DIV/0!</v>
      </c>
      <c r="U399" s="90" t="str">
        <f t="shared" ca="1" si="74"/>
        <v/>
      </c>
      <c r="V399" s="91" t="str">
        <f t="shared" ca="1" si="75"/>
        <v/>
      </c>
      <c r="W399" s="90" t="e">
        <f t="shared" si="81"/>
        <v>#DIV/0!</v>
      </c>
      <c r="X399" s="90" t="str">
        <f t="shared" ca="1" si="76"/>
        <v/>
      </c>
      <c r="Y399" s="91" t="str">
        <f t="shared" ca="1" si="77"/>
        <v/>
      </c>
    </row>
    <row r="400" spans="14:25" ht="14.5" x14ac:dyDescent="0.35">
      <c r="N400" s="90" t="e">
        <f t="shared" si="78"/>
        <v>#DIV/0!</v>
      </c>
      <c r="O400" s="90" t="str">
        <f t="shared" ca="1" si="70"/>
        <v/>
      </c>
      <c r="P400" s="91" t="str">
        <f t="shared" ca="1" si="71"/>
        <v/>
      </c>
      <c r="Q400" s="90" t="e">
        <f t="shared" si="79"/>
        <v>#DIV/0!</v>
      </c>
      <c r="R400" s="90" t="str">
        <f t="shared" ca="1" si="72"/>
        <v/>
      </c>
      <c r="S400" s="91" t="str">
        <f t="shared" ca="1" si="73"/>
        <v/>
      </c>
      <c r="T400" s="90" t="e">
        <f t="shared" si="80"/>
        <v>#DIV/0!</v>
      </c>
      <c r="U400" s="90" t="str">
        <f t="shared" ca="1" si="74"/>
        <v/>
      </c>
      <c r="V400" s="91" t="str">
        <f t="shared" ca="1" si="75"/>
        <v/>
      </c>
      <c r="W400" s="90" t="e">
        <f t="shared" si="81"/>
        <v>#DIV/0!</v>
      </c>
      <c r="X400" s="90" t="str">
        <f t="shared" ca="1" si="76"/>
        <v/>
      </c>
      <c r="Y400" s="91" t="str">
        <f t="shared" ca="1" si="77"/>
        <v/>
      </c>
    </row>
    <row r="401" spans="14:25" ht="14.5" x14ac:dyDescent="0.35">
      <c r="N401" s="90" t="e">
        <f t="shared" si="78"/>
        <v>#DIV/0!</v>
      </c>
      <c r="O401" s="90" t="str">
        <f t="shared" ca="1" si="70"/>
        <v/>
      </c>
      <c r="P401" s="91" t="str">
        <f t="shared" ca="1" si="71"/>
        <v/>
      </c>
      <c r="Q401" s="90" t="e">
        <f t="shared" si="79"/>
        <v>#DIV/0!</v>
      </c>
      <c r="R401" s="90" t="str">
        <f t="shared" ca="1" si="72"/>
        <v/>
      </c>
      <c r="S401" s="91" t="str">
        <f t="shared" ca="1" si="73"/>
        <v/>
      </c>
      <c r="T401" s="90" t="e">
        <f t="shared" si="80"/>
        <v>#DIV/0!</v>
      </c>
      <c r="U401" s="90" t="str">
        <f t="shared" ca="1" si="74"/>
        <v/>
      </c>
      <c r="V401" s="91" t="str">
        <f t="shared" ca="1" si="75"/>
        <v/>
      </c>
      <c r="W401" s="90" t="e">
        <f t="shared" si="81"/>
        <v>#DIV/0!</v>
      </c>
      <c r="X401" s="90" t="str">
        <f t="shared" ca="1" si="76"/>
        <v/>
      </c>
      <c r="Y401" s="91" t="str">
        <f t="shared" ca="1" si="77"/>
        <v/>
      </c>
    </row>
    <row r="402" spans="14:25" ht="14.5" x14ac:dyDescent="0.35">
      <c r="N402" s="90" t="e">
        <f t="shared" si="78"/>
        <v>#DIV/0!</v>
      </c>
      <c r="O402" s="90" t="str">
        <f t="shared" ref="O402:O417" ca="1" si="82">IF(ISNUMBER(N402),RANDBETWEEN(1,$R$14),"")</f>
        <v/>
      </c>
      <c r="P402" s="91" t="str">
        <f t="shared" ref="P402:P417" ca="1" si="83">IF(O402="","",COUNTIF($O$18:$O$417,O402)+COUNTIF($R$18:$R$417,O402)+COUNTIF($U$18:$U$417,O402)+COUNTIF($X$18:$X$417,O402))</f>
        <v/>
      </c>
      <c r="Q402" s="90" t="e">
        <f t="shared" si="79"/>
        <v>#DIV/0!</v>
      </c>
      <c r="R402" s="90" t="str">
        <f t="shared" ref="R402:R417" ca="1" si="84">IF(ISNUMBER(Q402),RANDBETWEEN(1,$R$14),"")</f>
        <v/>
      </c>
      <c r="S402" s="91" t="str">
        <f t="shared" ref="S402:S417" ca="1" si="85">IF(R402="","",COUNTIF($O$18:$O$417,R402)+COUNTIF($R$18:$R$417,R402)+COUNTIF($U$18:$U$417,R402)+COUNTIF($X$18:$X$417,R402))</f>
        <v/>
      </c>
      <c r="T402" s="90" t="e">
        <f t="shared" si="80"/>
        <v>#DIV/0!</v>
      </c>
      <c r="U402" s="90" t="str">
        <f t="shared" ref="U402:U417" ca="1" si="86">IF(ISNUMBER(T402),RANDBETWEEN(1,$R$14),"")</f>
        <v/>
      </c>
      <c r="V402" s="91" t="str">
        <f t="shared" ref="V402:V417" ca="1" si="87">IF(U402="","",COUNTIF($O$18:$O$417,U402)+COUNTIF($R$18:$R$417,U402)+COUNTIF($U$18:$U$417,U402)+COUNTIF($X$18:$X$417,U402))</f>
        <v/>
      </c>
      <c r="W402" s="90" t="e">
        <f t="shared" si="81"/>
        <v>#DIV/0!</v>
      </c>
      <c r="X402" s="90" t="str">
        <f t="shared" ref="X402:X417" ca="1" si="88">IF(ISNUMBER(W402),RANDBETWEEN(1,$R$14),"")</f>
        <v/>
      </c>
      <c r="Y402" s="91" t="str">
        <f t="shared" ref="Y402:Y417" ca="1" si="89">IF(X402="","",COUNTIF($O$18:$O$417,X402)+COUNTIF($R$18:$R$417,X402)+COUNTIF($U$18:$U$417,X402)+COUNTIF($X$18:$X$417,X402))</f>
        <v/>
      </c>
    </row>
    <row r="403" spans="14:25" ht="14.5" x14ac:dyDescent="0.35">
      <c r="N403" s="90" t="e">
        <f t="shared" si="78"/>
        <v>#DIV/0!</v>
      </c>
      <c r="O403" s="90" t="str">
        <f t="shared" ca="1" si="82"/>
        <v/>
      </c>
      <c r="P403" s="91" t="str">
        <f t="shared" ca="1" si="83"/>
        <v/>
      </c>
      <c r="Q403" s="90" t="e">
        <f t="shared" si="79"/>
        <v>#DIV/0!</v>
      </c>
      <c r="R403" s="90" t="str">
        <f t="shared" ca="1" si="84"/>
        <v/>
      </c>
      <c r="S403" s="91" t="str">
        <f t="shared" ca="1" si="85"/>
        <v/>
      </c>
      <c r="T403" s="90" t="e">
        <f t="shared" si="80"/>
        <v>#DIV/0!</v>
      </c>
      <c r="U403" s="90" t="str">
        <f t="shared" ca="1" si="86"/>
        <v/>
      </c>
      <c r="V403" s="91" t="str">
        <f t="shared" ca="1" si="87"/>
        <v/>
      </c>
      <c r="W403" s="90" t="e">
        <f t="shared" si="81"/>
        <v>#DIV/0!</v>
      </c>
      <c r="X403" s="90" t="str">
        <f t="shared" ca="1" si="88"/>
        <v/>
      </c>
      <c r="Y403" s="91" t="str">
        <f t="shared" ca="1" si="89"/>
        <v/>
      </c>
    </row>
    <row r="404" spans="14:25" ht="14.5" x14ac:dyDescent="0.35">
      <c r="N404" s="90" t="e">
        <f t="shared" si="78"/>
        <v>#DIV/0!</v>
      </c>
      <c r="O404" s="90" t="str">
        <f t="shared" ca="1" si="82"/>
        <v/>
      </c>
      <c r="P404" s="91" t="str">
        <f t="shared" ca="1" si="83"/>
        <v/>
      </c>
      <c r="Q404" s="90" t="e">
        <f t="shared" si="79"/>
        <v>#DIV/0!</v>
      </c>
      <c r="R404" s="90" t="str">
        <f t="shared" ca="1" si="84"/>
        <v/>
      </c>
      <c r="S404" s="91" t="str">
        <f t="shared" ca="1" si="85"/>
        <v/>
      </c>
      <c r="T404" s="90" t="e">
        <f t="shared" si="80"/>
        <v>#DIV/0!</v>
      </c>
      <c r="U404" s="90" t="str">
        <f t="shared" ca="1" si="86"/>
        <v/>
      </c>
      <c r="V404" s="91" t="str">
        <f t="shared" ca="1" si="87"/>
        <v/>
      </c>
      <c r="W404" s="90" t="e">
        <f t="shared" si="81"/>
        <v>#DIV/0!</v>
      </c>
      <c r="X404" s="90" t="str">
        <f t="shared" ca="1" si="88"/>
        <v/>
      </c>
      <c r="Y404" s="91" t="str">
        <f t="shared" ca="1" si="89"/>
        <v/>
      </c>
    </row>
    <row r="405" spans="14:25" ht="14.5" x14ac:dyDescent="0.35">
      <c r="N405" s="90" t="e">
        <f t="shared" si="78"/>
        <v>#DIV/0!</v>
      </c>
      <c r="O405" s="90" t="str">
        <f t="shared" ca="1" si="82"/>
        <v/>
      </c>
      <c r="P405" s="91" t="str">
        <f t="shared" ca="1" si="83"/>
        <v/>
      </c>
      <c r="Q405" s="90" t="e">
        <f t="shared" si="79"/>
        <v>#DIV/0!</v>
      </c>
      <c r="R405" s="90" t="str">
        <f t="shared" ca="1" si="84"/>
        <v/>
      </c>
      <c r="S405" s="91" t="str">
        <f t="shared" ca="1" si="85"/>
        <v/>
      </c>
      <c r="T405" s="90" t="e">
        <f t="shared" si="80"/>
        <v>#DIV/0!</v>
      </c>
      <c r="U405" s="90" t="str">
        <f t="shared" ca="1" si="86"/>
        <v/>
      </c>
      <c r="V405" s="91" t="str">
        <f t="shared" ca="1" si="87"/>
        <v/>
      </c>
      <c r="W405" s="90" t="e">
        <f t="shared" si="81"/>
        <v>#DIV/0!</v>
      </c>
      <c r="X405" s="90" t="str">
        <f t="shared" ca="1" si="88"/>
        <v/>
      </c>
      <c r="Y405" s="91" t="str">
        <f t="shared" ca="1" si="89"/>
        <v/>
      </c>
    </row>
    <row r="406" spans="14:25" ht="14.5" x14ac:dyDescent="0.35">
      <c r="N406" s="90" t="e">
        <f t="shared" si="78"/>
        <v>#DIV/0!</v>
      </c>
      <c r="O406" s="90" t="str">
        <f t="shared" ca="1" si="82"/>
        <v/>
      </c>
      <c r="P406" s="91" t="str">
        <f t="shared" ca="1" si="83"/>
        <v/>
      </c>
      <c r="Q406" s="90" t="e">
        <f t="shared" si="79"/>
        <v>#DIV/0!</v>
      </c>
      <c r="R406" s="90" t="str">
        <f t="shared" ca="1" si="84"/>
        <v/>
      </c>
      <c r="S406" s="91" t="str">
        <f t="shared" ca="1" si="85"/>
        <v/>
      </c>
      <c r="T406" s="90" t="e">
        <f t="shared" si="80"/>
        <v>#DIV/0!</v>
      </c>
      <c r="U406" s="90" t="str">
        <f t="shared" ca="1" si="86"/>
        <v/>
      </c>
      <c r="V406" s="91" t="str">
        <f t="shared" ca="1" si="87"/>
        <v/>
      </c>
      <c r="W406" s="90" t="e">
        <f t="shared" si="81"/>
        <v>#DIV/0!</v>
      </c>
      <c r="X406" s="90" t="str">
        <f t="shared" ca="1" si="88"/>
        <v/>
      </c>
      <c r="Y406" s="91" t="str">
        <f t="shared" ca="1" si="89"/>
        <v/>
      </c>
    </row>
    <row r="407" spans="14:25" ht="14.5" x14ac:dyDescent="0.35">
      <c r="N407" s="90" t="e">
        <f t="shared" si="78"/>
        <v>#DIV/0!</v>
      </c>
      <c r="O407" s="90" t="str">
        <f t="shared" ca="1" si="82"/>
        <v/>
      </c>
      <c r="P407" s="91" t="str">
        <f t="shared" ca="1" si="83"/>
        <v/>
      </c>
      <c r="Q407" s="90" t="e">
        <f t="shared" si="79"/>
        <v>#DIV/0!</v>
      </c>
      <c r="R407" s="90" t="str">
        <f t="shared" ca="1" si="84"/>
        <v/>
      </c>
      <c r="S407" s="91" t="str">
        <f t="shared" ca="1" si="85"/>
        <v/>
      </c>
      <c r="T407" s="90" t="e">
        <f t="shared" si="80"/>
        <v>#DIV/0!</v>
      </c>
      <c r="U407" s="90" t="str">
        <f t="shared" ca="1" si="86"/>
        <v/>
      </c>
      <c r="V407" s="91" t="str">
        <f t="shared" ca="1" si="87"/>
        <v/>
      </c>
      <c r="W407" s="90" t="e">
        <f t="shared" si="81"/>
        <v>#DIV/0!</v>
      </c>
      <c r="X407" s="90" t="str">
        <f t="shared" ca="1" si="88"/>
        <v/>
      </c>
      <c r="Y407" s="91" t="str">
        <f t="shared" ca="1" si="89"/>
        <v/>
      </c>
    </row>
    <row r="408" spans="14:25" ht="14.5" x14ac:dyDescent="0.35">
      <c r="N408" s="90" t="e">
        <f t="shared" si="78"/>
        <v>#DIV/0!</v>
      </c>
      <c r="O408" s="90" t="str">
        <f t="shared" ca="1" si="82"/>
        <v/>
      </c>
      <c r="P408" s="91" t="str">
        <f t="shared" ca="1" si="83"/>
        <v/>
      </c>
      <c r="Q408" s="90" t="e">
        <f t="shared" si="79"/>
        <v>#DIV/0!</v>
      </c>
      <c r="R408" s="90" t="str">
        <f t="shared" ca="1" si="84"/>
        <v/>
      </c>
      <c r="S408" s="91" t="str">
        <f t="shared" ca="1" si="85"/>
        <v/>
      </c>
      <c r="T408" s="90" t="e">
        <f t="shared" si="80"/>
        <v>#DIV/0!</v>
      </c>
      <c r="U408" s="90" t="str">
        <f t="shared" ca="1" si="86"/>
        <v/>
      </c>
      <c r="V408" s="91" t="str">
        <f t="shared" ca="1" si="87"/>
        <v/>
      </c>
      <c r="W408" s="90" t="e">
        <f t="shared" si="81"/>
        <v>#DIV/0!</v>
      </c>
      <c r="X408" s="90" t="str">
        <f t="shared" ca="1" si="88"/>
        <v/>
      </c>
      <c r="Y408" s="91" t="str">
        <f t="shared" ca="1" si="89"/>
        <v/>
      </c>
    </row>
    <row r="409" spans="14:25" ht="14.5" x14ac:dyDescent="0.35">
      <c r="N409" s="90" t="e">
        <f t="shared" si="78"/>
        <v>#DIV/0!</v>
      </c>
      <c r="O409" s="90" t="str">
        <f t="shared" ca="1" si="82"/>
        <v/>
      </c>
      <c r="P409" s="91" t="str">
        <f t="shared" ca="1" si="83"/>
        <v/>
      </c>
      <c r="Q409" s="90" t="e">
        <f t="shared" si="79"/>
        <v>#DIV/0!</v>
      </c>
      <c r="R409" s="90" t="str">
        <f t="shared" ca="1" si="84"/>
        <v/>
      </c>
      <c r="S409" s="91" t="str">
        <f t="shared" ca="1" si="85"/>
        <v/>
      </c>
      <c r="T409" s="90" t="e">
        <f t="shared" si="80"/>
        <v>#DIV/0!</v>
      </c>
      <c r="U409" s="90" t="str">
        <f t="shared" ca="1" si="86"/>
        <v/>
      </c>
      <c r="V409" s="91" t="str">
        <f t="shared" ca="1" si="87"/>
        <v/>
      </c>
      <c r="W409" s="90" t="e">
        <f t="shared" si="81"/>
        <v>#DIV/0!</v>
      </c>
      <c r="X409" s="90" t="str">
        <f t="shared" ca="1" si="88"/>
        <v/>
      </c>
      <c r="Y409" s="91" t="str">
        <f t="shared" ca="1" si="89"/>
        <v/>
      </c>
    </row>
    <row r="410" spans="14:25" ht="14.5" x14ac:dyDescent="0.35">
      <c r="N410" s="90" t="e">
        <f t="shared" si="78"/>
        <v>#DIV/0!</v>
      </c>
      <c r="O410" s="90" t="str">
        <f t="shared" ca="1" si="82"/>
        <v/>
      </c>
      <c r="P410" s="91" t="str">
        <f t="shared" ca="1" si="83"/>
        <v/>
      </c>
      <c r="Q410" s="90" t="e">
        <f t="shared" si="79"/>
        <v>#DIV/0!</v>
      </c>
      <c r="R410" s="90" t="str">
        <f t="shared" ca="1" si="84"/>
        <v/>
      </c>
      <c r="S410" s="91" t="str">
        <f t="shared" ca="1" si="85"/>
        <v/>
      </c>
      <c r="T410" s="90" t="e">
        <f t="shared" si="80"/>
        <v>#DIV/0!</v>
      </c>
      <c r="U410" s="90" t="str">
        <f t="shared" ca="1" si="86"/>
        <v/>
      </c>
      <c r="V410" s="91" t="str">
        <f t="shared" ca="1" si="87"/>
        <v/>
      </c>
      <c r="W410" s="90" t="e">
        <f t="shared" si="81"/>
        <v>#DIV/0!</v>
      </c>
      <c r="X410" s="90" t="str">
        <f t="shared" ca="1" si="88"/>
        <v/>
      </c>
      <c r="Y410" s="91" t="str">
        <f t="shared" ca="1" si="89"/>
        <v/>
      </c>
    </row>
    <row r="411" spans="14:25" ht="14.5" x14ac:dyDescent="0.35">
      <c r="N411" s="90" t="e">
        <f t="shared" si="78"/>
        <v>#DIV/0!</v>
      </c>
      <c r="O411" s="90" t="str">
        <f t="shared" ca="1" si="82"/>
        <v/>
      </c>
      <c r="P411" s="91" t="str">
        <f t="shared" ca="1" si="83"/>
        <v/>
      </c>
      <c r="Q411" s="90" t="e">
        <f t="shared" si="79"/>
        <v>#DIV/0!</v>
      </c>
      <c r="R411" s="90" t="str">
        <f t="shared" ca="1" si="84"/>
        <v/>
      </c>
      <c r="S411" s="91" t="str">
        <f t="shared" ca="1" si="85"/>
        <v/>
      </c>
      <c r="T411" s="90" t="e">
        <f t="shared" si="80"/>
        <v>#DIV/0!</v>
      </c>
      <c r="U411" s="90" t="str">
        <f t="shared" ca="1" si="86"/>
        <v/>
      </c>
      <c r="V411" s="91" t="str">
        <f t="shared" ca="1" si="87"/>
        <v/>
      </c>
      <c r="W411" s="90" t="e">
        <f t="shared" si="81"/>
        <v>#DIV/0!</v>
      </c>
      <c r="X411" s="90" t="str">
        <f t="shared" ca="1" si="88"/>
        <v/>
      </c>
      <c r="Y411" s="91" t="str">
        <f t="shared" ca="1" si="89"/>
        <v/>
      </c>
    </row>
    <row r="412" spans="14:25" ht="14.5" x14ac:dyDescent="0.35">
      <c r="N412" s="90" t="e">
        <f t="shared" si="78"/>
        <v>#DIV/0!</v>
      </c>
      <c r="O412" s="90" t="str">
        <f t="shared" ca="1" si="82"/>
        <v/>
      </c>
      <c r="P412" s="91" t="str">
        <f t="shared" ca="1" si="83"/>
        <v/>
      </c>
      <c r="Q412" s="90" t="e">
        <f t="shared" si="79"/>
        <v>#DIV/0!</v>
      </c>
      <c r="R412" s="90" t="str">
        <f t="shared" ca="1" si="84"/>
        <v/>
      </c>
      <c r="S412" s="91" t="str">
        <f t="shared" ca="1" si="85"/>
        <v/>
      </c>
      <c r="T412" s="90" t="e">
        <f t="shared" si="80"/>
        <v>#DIV/0!</v>
      </c>
      <c r="U412" s="90" t="str">
        <f t="shared" ca="1" si="86"/>
        <v/>
      </c>
      <c r="V412" s="91" t="str">
        <f t="shared" ca="1" si="87"/>
        <v/>
      </c>
      <c r="W412" s="90" t="e">
        <f t="shared" si="81"/>
        <v>#DIV/0!</v>
      </c>
      <c r="X412" s="90" t="str">
        <f t="shared" ca="1" si="88"/>
        <v/>
      </c>
      <c r="Y412" s="91" t="str">
        <f t="shared" ca="1" si="89"/>
        <v/>
      </c>
    </row>
    <row r="413" spans="14:25" ht="14.5" x14ac:dyDescent="0.35">
      <c r="N413" s="90" t="e">
        <f t="shared" si="78"/>
        <v>#DIV/0!</v>
      </c>
      <c r="O413" s="90" t="str">
        <f t="shared" ca="1" si="82"/>
        <v/>
      </c>
      <c r="P413" s="91" t="str">
        <f t="shared" ca="1" si="83"/>
        <v/>
      </c>
      <c r="Q413" s="90" t="e">
        <f t="shared" si="79"/>
        <v>#DIV/0!</v>
      </c>
      <c r="R413" s="90" t="str">
        <f t="shared" ca="1" si="84"/>
        <v/>
      </c>
      <c r="S413" s="91" t="str">
        <f t="shared" ca="1" si="85"/>
        <v/>
      </c>
      <c r="T413" s="90" t="e">
        <f t="shared" si="80"/>
        <v>#DIV/0!</v>
      </c>
      <c r="U413" s="90" t="str">
        <f t="shared" ca="1" si="86"/>
        <v/>
      </c>
      <c r="V413" s="91" t="str">
        <f t="shared" ca="1" si="87"/>
        <v/>
      </c>
      <c r="W413" s="90" t="e">
        <f t="shared" si="81"/>
        <v>#DIV/0!</v>
      </c>
      <c r="X413" s="90" t="str">
        <f t="shared" ca="1" si="88"/>
        <v/>
      </c>
      <c r="Y413" s="91" t="str">
        <f t="shared" ca="1" si="89"/>
        <v/>
      </c>
    </row>
    <row r="414" spans="14:25" ht="14.5" x14ac:dyDescent="0.35">
      <c r="N414" s="90" t="e">
        <f t="shared" si="78"/>
        <v>#DIV/0!</v>
      </c>
      <c r="O414" s="90" t="str">
        <f t="shared" ca="1" si="82"/>
        <v/>
      </c>
      <c r="P414" s="91" t="str">
        <f t="shared" ca="1" si="83"/>
        <v/>
      </c>
      <c r="Q414" s="90" t="e">
        <f t="shared" si="79"/>
        <v>#DIV/0!</v>
      </c>
      <c r="R414" s="90" t="str">
        <f t="shared" ca="1" si="84"/>
        <v/>
      </c>
      <c r="S414" s="91" t="str">
        <f t="shared" ca="1" si="85"/>
        <v/>
      </c>
      <c r="T414" s="90" t="e">
        <f t="shared" si="80"/>
        <v>#DIV/0!</v>
      </c>
      <c r="U414" s="90" t="str">
        <f t="shared" ca="1" si="86"/>
        <v/>
      </c>
      <c r="V414" s="91" t="str">
        <f t="shared" ca="1" si="87"/>
        <v/>
      </c>
      <c r="W414" s="90" t="e">
        <f t="shared" si="81"/>
        <v>#DIV/0!</v>
      </c>
      <c r="X414" s="90" t="str">
        <f t="shared" ca="1" si="88"/>
        <v/>
      </c>
      <c r="Y414" s="91" t="str">
        <f t="shared" ca="1" si="89"/>
        <v/>
      </c>
    </row>
    <row r="415" spans="14:25" ht="14.5" x14ac:dyDescent="0.35">
      <c r="N415" s="90" t="e">
        <f t="shared" si="78"/>
        <v>#DIV/0!</v>
      </c>
      <c r="O415" s="90" t="str">
        <f t="shared" ca="1" si="82"/>
        <v/>
      </c>
      <c r="P415" s="91" t="str">
        <f t="shared" ca="1" si="83"/>
        <v/>
      </c>
      <c r="Q415" s="90" t="e">
        <f t="shared" si="79"/>
        <v>#DIV/0!</v>
      </c>
      <c r="R415" s="90" t="str">
        <f t="shared" ca="1" si="84"/>
        <v/>
      </c>
      <c r="S415" s="91" t="str">
        <f t="shared" ca="1" si="85"/>
        <v/>
      </c>
      <c r="T415" s="90" t="e">
        <f t="shared" si="80"/>
        <v>#DIV/0!</v>
      </c>
      <c r="U415" s="90" t="str">
        <f t="shared" ca="1" si="86"/>
        <v/>
      </c>
      <c r="V415" s="91" t="str">
        <f t="shared" ca="1" si="87"/>
        <v/>
      </c>
      <c r="W415" s="90" t="e">
        <f t="shared" si="81"/>
        <v>#DIV/0!</v>
      </c>
      <c r="X415" s="90" t="str">
        <f t="shared" ca="1" si="88"/>
        <v/>
      </c>
      <c r="Y415" s="91" t="str">
        <f t="shared" ca="1" si="89"/>
        <v/>
      </c>
    </row>
    <row r="416" spans="14:25" ht="14.5" x14ac:dyDescent="0.35">
      <c r="N416" s="90" t="e">
        <f t="shared" si="78"/>
        <v>#DIV/0!</v>
      </c>
      <c r="O416" s="90" t="str">
        <f t="shared" ca="1" si="82"/>
        <v/>
      </c>
      <c r="P416" s="91" t="str">
        <f t="shared" ca="1" si="83"/>
        <v/>
      </c>
      <c r="Q416" s="90" t="e">
        <f t="shared" si="79"/>
        <v>#DIV/0!</v>
      </c>
      <c r="R416" s="90" t="str">
        <f t="shared" ca="1" si="84"/>
        <v/>
      </c>
      <c r="S416" s="91" t="str">
        <f t="shared" ca="1" si="85"/>
        <v/>
      </c>
      <c r="T416" s="90" t="e">
        <f t="shared" si="80"/>
        <v>#DIV/0!</v>
      </c>
      <c r="U416" s="90" t="str">
        <f t="shared" ca="1" si="86"/>
        <v/>
      </c>
      <c r="V416" s="91" t="str">
        <f t="shared" ca="1" si="87"/>
        <v/>
      </c>
      <c r="W416" s="90" t="e">
        <f t="shared" si="81"/>
        <v>#DIV/0!</v>
      </c>
      <c r="X416" s="90" t="str">
        <f t="shared" ca="1" si="88"/>
        <v/>
      </c>
      <c r="Y416" s="91" t="str">
        <f t="shared" ca="1" si="89"/>
        <v/>
      </c>
    </row>
    <row r="417" spans="14:25" ht="14.5" x14ac:dyDescent="0.35">
      <c r="N417" s="90" t="e">
        <f t="shared" si="78"/>
        <v>#DIV/0!</v>
      </c>
      <c r="O417" s="90" t="str">
        <f t="shared" ca="1" si="82"/>
        <v/>
      </c>
      <c r="P417" s="91" t="str">
        <f t="shared" ca="1" si="83"/>
        <v/>
      </c>
      <c r="Q417" s="90" t="e">
        <f t="shared" si="79"/>
        <v>#DIV/0!</v>
      </c>
      <c r="R417" s="90" t="str">
        <f t="shared" ca="1" si="84"/>
        <v/>
      </c>
      <c r="S417" s="91" t="str">
        <f t="shared" ca="1" si="85"/>
        <v/>
      </c>
      <c r="T417" s="90" t="e">
        <f t="shared" si="80"/>
        <v>#DIV/0!</v>
      </c>
      <c r="U417" s="90" t="str">
        <f t="shared" ca="1" si="86"/>
        <v/>
      </c>
      <c r="V417" s="91" t="str">
        <f t="shared" ca="1" si="87"/>
        <v/>
      </c>
      <c r="W417" s="90" t="e">
        <f t="shared" si="81"/>
        <v>#DIV/0!</v>
      </c>
      <c r="X417" s="90" t="str">
        <f t="shared" ca="1" si="88"/>
        <v/>
      </c>
      <c r="Y417" s="91" t="str">
        <f t="shared" ca="1" si="89"/>
        <v/>
      </c>
    </row>
    <row r="1617" spans="16:16" ht="14.5" x14ac:dyDescent="0.35">
      <c r="P1617" s="141"/>
    </row>
    <row r="1618" spans="16:16" ht="14.5" x14ac:dyDescent="0.35">
      <c r="P1618" s="141"/>
    </row>
    <row r="1619" spans="16:16" ht="14.5" x14ac:dyDescent="0.35">
      <c r="P1619" s="141"/>
    </row>
    <row r="1620" spans="16:16" ht="14.5" x14ac:dyDescent="0.35">
      <c r="P1620" s="141"/>
    </row>
    <row r="1621" spans="16:16" ht="14.5" x14ac:dyDescent="0.35">
      <c r="P1621" s="141"/>
    </row>
    <row r="1622" spans="16:16" ht="14.5" x14ac:dyDescent="0.35">
      <c r="P1622" s="141"/>
    </row>
    <row r="1623" spans="16:16" ht="14.5" x14ac:dyDescent="0.35">
      <c r="P1623" s="141"/>
    </row>
    <row r="1624" spans="16:16" ht="14.5" x14ac:dyDescent="0.35">
      <c r="P1624" s="141"/>
    </row>
    <row r="1625" spans="16:16" ht="14.5" x14ac:dyDescent="0.35">
      <c r="P1625" s="141"/>
    </row>
    <row r="1626" spans="16:16" ht="14.5" x14ac:dyDescent="0.35">
      <c r="P1626" s="141"/>
    </row>
    <row r="1627" spans="16:16" ht="14.5" x14ac:dyDescent="0.35">
      <c r="P1627" s="141"/>
    </row>
    <row r="1628" spans="16:16" ht="14.5" x14ac:dyDescent="0.35">
      <c r="P1628" s="141"/>
    </row>
    <row r="1629" spans="16:16" ht="14.5" x14ac:dyDescent="0.35">
      <c r="P1629" s="141"/>
    </row>
    <row r="1630" spans="16:16" ht="14.5" x14ac:dyDescent="0.35">
      <c r="P1630" s="141"/>
    </row>
    <row r="1631" spans="16:16" ht="14.5" x14ac:dyDescent="0.35">
      <c r="P1631" s="141"/>
    </row>
    <row r="1632" spans="16:16" ht="14.5" x14ac:dyDescent="0.35">
      <c r="P1632" s="141"/>
    </row>
    <row r="1633" spans="16:16" ht="14.5" x14ac:dyDescent="0.35">
      <c r="P1633" s="141"/>
    </row>
    <row r="1634" spans="16:16" ht="14.5" x14ac:dyDescent="0.35">
      <c r="P1634" s="141"/>
    </row>
    <row r="1635" spans="16:16" ht="14.5" x14ac:dyDescent="0.35">
      <c r="P1635" s="141"/>
    </row>
    <row r="1636" spans="16:16" ht="14.5" x14ac:dyDescent="0.35">
      <c r="P1636" s="141"/>
    </row>
    <row r="1637" spans="16:16" ht="14.5" x14ac:dyDescent="0.35">
      <c r="P1637" s="141"/>
    </row>
    <row r="1638" spans="16:16" ht="14.5" x14ac:dyDescent="0.35">
      <c r="P1638" s="141"/>
    </row>
    <row r="1639" spans="16:16" ht="14.5" x14ac:dyDescent="0.35">
      <c r="P1639" s="141"/>
    </row>
  </sheetData>
  <sheetProtection algorithmName="SHA-512" hashValue="mUXacdTyMj2buy9rDmDEWuXM82Vgk9IDF2nVoneWS78WQ1SReALv++Y1sX5IHSvl0c1WReqwJKPEEDAnoaspcA==" saltValue="AAfzzh+53eWHOGLJr8gwbg==" spinCount="100000" sheet="1" objects="1" scenarios="1" formatCells="0" formatColumns="0" formatRows="0" insertHyperlinks="0" selectLockedCells="1"/>
  <mergeCells count="3">
    <mergeCell ref="B56:D56"/>
    <mergeCell ref="B73:D73"/>
    <mergeCell ref="B91:D91"/>
  </mergeCells>
  <dataValidations count="3">
    <dataValidation type="list" allowBlank="1" showInputMessage="1" showErrorMessage="1" sqref="B23" xr:uid="{9FDF0CA4-FB69-4882-BE50-7C9B5CA48988}">
      <formula1>$A$75:$A$85</formula1>
    </dataValidation>
    <dataValidation type="list" allowBlank="1" showInputMessage="1" showErrorMessage="1" sqref="A68" xr:uid="{9AF1DB2D-F4EE-460E-A3A8-BDEF489C4948}">
      <formula1>$A$75:$A$87</formula1>
    </dataValidation>
    <dataValidation type="list" allowBlank="1" showInputMessage="1" showErrorMessage="1" sqref="B18 B15" xr:uid="{9D0C3FD9-B45A-4649-9E6B-8FEB2D19063D}">
      <formula1>"High,Medium,Low"</formula1>
    </dataValidation>
  </dataValidations>
  <pageMargins left="0.70866141732283472" right="0.70866141732283472" top="0.74803149606299213" bottom="0.74803149606299213" header="0.31496062992125984" footer="0.31496062992125984"/>
  <pageSetup paperSize="9" scale="72" orientation="portrait" r:id="rId1"/>
  <rowBreaks count="7" manualBreakCount="7">
    <brk id="67" min="13" max="24" man="1"/>
    <brk id="117" min="13" max="24" man="1"/>
    <brk id="167" min="13" max="24" man="1"/>
    <brk id="217" min="13" max="24" man="1"/>
    <brk id="267" min="13" max="24" man="1"/>
    <brk id="317" min="13" max="24" man="1"/>
    <brk id="367" min="13" max="2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Generate__samples">
                <anchor moveWithCells="1" sizeWithCells="1">
                  <from>
                    <xdr:col>4</xdr:col>
                    <xdr:colOff>393700</xdr:colOff>
                    <xdr:row>8</xdr:row>
                    <xdr:rowOff>31750</xdr:rowOff>
                  </from>
                  <to>
                    <xdr:col>7</xdr:col>
                    <xdr:colOff>133350</xdr:colOff>
                    <xdr:row>10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PKF Sampling_Payable_Advances</vt:lpstr>
      <vt:lpstr>Random Sampling_Advances_</vt:lpstr>
      <vt:lpstr>'Random Sampling_Advances_'!column1</vt:lpstr>
      <vt:lpstr>'Random Sampling_Advances_'!Column2</vt:lpstr>
      <vt:lpstr>'Random Sampling_Advances_'!DATA1</vt:lpstr>
      <vt:lpstr>'Random Sampling_Advances_'!DATA2</vt:lpstr>
      <vt:lpstr>'Random Sampling_Advances_'!Print_Area</vt:lpstr>
      <vt:lpstr>'Random Sampling_Advances_'!Print_Titles</vt:lpstr>
      <vt:lpstr>'Random Sampling_Advances_'!Row_1</vt:lpstr>
      <vt:lpstr>'Random Sampling_Advances_'!Row_2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</dc:creator>
  <cp:lastModifiedBy>Abhishek S</cp:lastModifiedBy>
  <dcterms:created xsi:type="dcterms:W3CDTF">2026-09-14T10:09:35Z</dcterms:created>
  <dcterms:modified xsi:type="dcterms:W3CDTF">2026-09-14T10:14:02Z</dcterms:modified>
</cp:coreProperties>
</file>